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gino/Downloads/"/>
    </mc:Choice>
  </mc:AlternateContent>
  <xr:revisionPtr revIDLastSave="0" documentId="13_ncr:1_{44F886B9-9BA9-CC4E-B24E-B6C856CB0559}" xr6:coauthVersionLast="47" xr6:coauthVersionMax="47" xr10:uidLastSave="{00000000-0000-0000-0000-000000000000}"/>
  <bookViews>
    <workbookView xWindow="20" yWindow="660" windowWidth="29400" windowHeight="17120" activeTab="2" xr2:uid="{34A32790-11FF-1248-9B01-98ECF0542A53}"/>
  </bookViews>
  <sheets>
    <sheet name=" CC " sheetId="6" r:id="rId1"/>
    <sheet name="CE" sheetId="7" r:id="rId2"/>
    <sheet name="CC INFLACIÓN" sheetId="9" r:id="rId3"/>
    <sheet name="CE Inflación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0" l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5" i="10"/>
  <c r="C4" i="10"/>
  <c r="S41" i="9"/>
  <c r="S42" i="9" s="1"/>
  <c r="S43" i="9" s="1"/>
  <c r="S44" i="9" s="1"/>
  <c r="G41" i="9"/>
  <c r="G42" i="9" s="1"/>
  <c r="G43" i="9" s="1"/>
  <c r="G44" i="9" s="1"/>
  <c r="G6" i="10"/>
  <c r="G7" i="10" s="1"/>
  <c r="G8" i="10" s="1"/>
  <c r="G9" i="10" s="1"/>
  <c r="G10" i="10" s="1"/>
  <c r="O7" i="9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K7" i="9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C14" i="9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G7" i="9"/>
  <c r="G95" i="9"/>
  <c r="H95" i="9"/>
  <c r="I95" i="9"/>
  <c r="J98" i="9"/>
  <c r="G94" i="9"/>
  <c r="H94" i="9"/>
  <c r="I94" i="9"/>
  <c r="J97" i="9"/>
  <c r="F94" i="9"/>
  <c r="G52" i="9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S69" i="9"/>
  <c r="S70" i="9" s="1"/>
  <c r="S71" i="9" s="1"/>
  <c r="S72" i="9" s="1"/>
  <c r="S73" i="9" s="1"/>
  <c r="S74" i="9" s="1"/>
  <c r="S75" i="9" s="1"/>
  <c r="S76" i="9" s="1"/>
  <c r="S77" i="9" s="1"/>
  <c r="S78" i="9" s="1"/>
  <c r="S79" i="9" s="1"/>
  <c r="S80" i="9" s="1"/>
  <c r="S81" i="9" s="1"/>
  <c r="K72" i="9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G69" i="9"/>
  <c r="G70" i="9"/>
  <c r="G71" i="9" s="1"/>
  <c r="G72" i="9" s="1"/>
  <c r="G73" i="9" s="1"/>
  <c r="G74" i="9" s="1"/>
  <c r="G75" i="9" s="1"/>
  <c r="G76" i="9" s="1"/>
  <c r="G77" i="9" s="1"/>
  <c r="G78" i="9" s="1"/>
  <c r="G79" i="9" s="1"/>
  <c r="G80" i="9" s="1"/>
  <c r="G81" i="9" s="1"/>
  <c r="O72" i="9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C59" i="9"/>
  <c r="C60" i="9" s="1"/>
  <c r="C61" i="9" s="1"/>
  <c r="C62" i="9" s="1"/>
  <c r="C63" i="9" s="1"/>
  <c r="C64" i="9" s="1"/>
  <c r="C65" i="9" s="1"/>
  <c r="C66" i="9" s="1"/>
  <c r="C67" i="9" s="1"/>
  <c r="C68" i="9" s="1"/>
  <c r="C69" i="9" s="1"/>
  <c r="C70" i="9" s="1"/>
  <c r="C71" i="9" s="1"/>
  <c r="S52" i="9"/>
  <c r="S53" i="9" s="1"/>
  <c r="S54" i="9" s="1"/>
  <c r="S55" i="9" s="1"/>
  <c r="S56" i="9" s="1"/>
  <c r="S57" i="9" s="1"/>
  <c r="S58" i="9" s="1"/>
  <c r="S59" i="9" s="1"/>
  <c r="S60" i="9" s="1"/>
  <c r="S61" i="9" s="1"/>
  <c r="S62" i="9" s="1"/>
  <c r="S63" i="9" s="1"/>
  <c r="S64" i="9" s="1"/>
  <c r="O55" i="9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K55" i="9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S29" i="9"/>
  <c r="S30" i="9" s="1"/>
  <c r="S31" i="9" s="1"/>
  <c r="S32" i="9" s="1"/>
  <c r="S33" i="9" s="1"/>
  <c r="S34" i="9" s="1"/>
  <c r="S35" i="9" s="1"/>
  <c r="S36" i="9" s="1"/>
  <c r="S37" i="9" s="1"/>
  <c r="S38" i="9" s="1"/>
  <c r="S39" i="9" s="1"/>
  <c r="S40" i="9" s="1"/>
  <c r="C24" i="10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O23" i="10"/>
  <c r="W23" i="10" s="1"/>
  <c r="G10" i="7"/>
  <c r="AE7" i="10"/>
  <c r="AE8" i="10" s="1"/>
  <c r="AE9" i="10" s="1"/>
  <c r="AE10" i="10" s="1"/>
  <c r="AE11" i="10" s="1"/>
  <c r="AE12" i="10" s="1"/>
  <c r="AE13" i="10" s="1"/>
  <c r="AE14" i="10" s="1"/>
  <c r="AE15" i="10" s="1"/>
  <c r="AE16" i="10" s="1"/>
  <c r="AE17" i="10" s="1"/>
  <c r="AE18" i="10" s="1"/>
  <c r="AA24" i="10"/>
  <c r="AA25" i="10" s="1"/>
  <c r="AA26" i="10" s="1"/>
  <c r="AA27" i="10" s="1"/>
  <c r="AA28" i="10" s="1"/>
  <c r="AA29" i="10" s="1"/>
  <c r="AA30" i="10" s="1"/>
  <c r="AA31" i="10" s="1"/>
  <c r="AA32" i="10" s="1"/>
  <c r="AA33" i="10" s="1"/>
  <c r="AA34" i="10" s="1"/>
  <c r="AA35" i="10" s="1"/>
  <c r="W36" i="10"/>
  <c r="S6" i="10"/>
  <c r="S7" i="10" s="1"/>
  <c r="S8" i="10" s="1"/>
  <c r="S9" i="10" s="1"/>
  <c r="S10" i="10" s="1"/>
  <c r="S11" i="10" s="1"/>
  <c r="S12" i="10" s="1"/>
  <c r="S13" i="10" s="1"/>
  <c r="S14" i="10" s="1"/>
  <c r="S15" i="10" s="1"/>
  <c r="S16" i="10" s="1"/>
  <c r="S17" i="10" s="1"/>
  <c r="S18" i="10" s="1"/>
  <c r="AQ221" i="7"/>
  <c r="O28" i="9"/>
  <c r="O29" i="9" s="1"/>
  <c r="O30" i="9" s="1"/>
  <c r="O31" i="9" s="1"/>
  <c r="O32" i="9" s="1"/>
  <c r="O33" i="9" s="1"/>
  <c r="O34" i="9" s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K28" i="9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G29" i="9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S7" i="9"/>
  <c r="S8" i="9" s="1"/>
  <c r="S9" i="9" s="1"/>
  <c r="S10" i="9" s="1"/>
  <c r="S11" i="9" s="1"/>
  <c r="S12" i="9" s="1"/>
  <c r="S13" i="9" s="1"/>
  <c r="S14" i="9" s="1"/>
  <c r="S15" i="9" s="1"/>
  <c r="S16" i="9" s="1"/>
  <c r="S17" i="9" s="1"/>
  <c r="S18" i="9" s="1"/>
  <c r="S19" i="9" s="1"/>
  <c r="S20" i="9" s="1"/>
  <c r="S21" i="9" s="1"/>
  <c r="S22" i="9" s="1"/>
  <c r="S23" i="9" s="1"/>
  <c r="AI23" i="10"/>
  <c r="AI24" i="10" s="1"/>
  <c r="AI25" i="10" s="1"/>
  <c r="AI26" i="10" s="1"/>
  <c r="AI27" i="10" s="1"/>
  <c r="AI28" i="10" s="1"/>
  <c r="AI29" i="10" s="1"/>
  <c r="AI30" i="10" s="1"/>
  <c r="AI31" i="10" s="1"/>
  <c r="AI32" i="10" s="1"/>
  <c r="AI33" i="10" s="1"/>
  <c r="AI34" i="10" s="1"/>
  <c r="AI35" i="10" s="1"/>
  <c r="AE23" i="10"/>
  <c r="AE24" i="10" s="1"/>
  <c r="AE25" i="10" s="1"/>
  <c r="AE26" i="10" s="1"/>
  <c r="AE27" i="10" s="1"/>
  <c r="AE28" i="10" s="1"/>
  <c r="AE29" i="10" s="1"/>
  <c r="AE30" i="10" s="1"/>
  <c r="AE31" i="10" s="1"/>
  <c r="AE32" i="10" s="1"/>
  <c r="AE33" i="10" s="1"/>
  <c r="AE34" i="10" s="1"/>
  <c r="AE35" i="10" s="1"/>
  <c r="K23" i="10"/>
  <c r="K24" i="10" s="1"/>
  <c r="G24" i="10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AI6" i="10"/>
  <c r="AI7" i="10" s="1"/>
  <c r="AI8" i="10" s="1"/>
  <c r="AI9" i="10" s="1"/>
  <c r="AI10" i="10" s="1"/>
  <c r="AI11" i="10" s="1"/>
  <c r="AI12" i="10" s="1"/>
  <c r="AI13" i="10" s="1"/>
  <c r="AI14" i="10" s="1"/>
  <c r="AI15" i="10" s="1"/>
  <c r="AI16" i="10" s="1"/>
  <c r="AI17" i="10" s="1"/>
  <c r="AI18" i="10" s="1"/>
  <c r="AA6" i="10"/>
  <c r="AA7" i="10" s="1"/>
  <c r="AA8" i="10" s="1"/>
  <c r="AA9" i="10" s="1"/>
  <c r="AA10" i="10" s="1"/>
  <c r="AA11" i="10" s="1"/>
  <c r="AA12" i="10" s="1"/>
  <c r="AA13" i="10" s="1"/>
  <c r="AA14" i="10" s="1"/>
  <c r="AA15" i="10" s="1"/>
  <c r="AA16" i="10" s="1"/>
  <c r="AA17" i="10" s="1"/>
  <c r="AA18" i="10" s="1"/>
  <c r="W7" i="10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G8" i="9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AZ6" i="7"/>
  <c r="AZ7" i="7"/>
  <c r="AZ8" i="7"/>
  <c r="AZ9" i="7"/>
  <c r="AZ10" i="7"/>
  <c r="AZ11" i="7"/>
  <c r="AR6" i="7"/>
  <c r="AR7" i="7"/>
  <c r="AR8" i="7"/>
  <c r="AR9" i="7"/>
  <c r="AR10" i="7"/>
  <c r="AR11" i="7"/>
  <c r="AN6" i="7"/>
  <c r="AN7" i="7"/>
  <c r="AN8" i="7"/>
  <c r="AN9" i="7"/>
  <c r="AN10" i="7"/>
  <c r="AI6" i="7"/>
  <c r="AI7" i="7"/>
  <c r="AI8" i="7"/>
  <c r="AI9" i="7"/>
  <c r="AI10" i="7"/>
  <c r="AE6" i="7"/>
  <c r="AE7" i="7"/>
  <c r="AE8" i="7"/>
  <c r="AE9" i="7"/>
  <c r="AE10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E63" i="7"/>
  <c r="AE64" i="7"/>
  <c r="AE65" i="7"/>
  <c r="AE66" i="7"/>
  <c r="AE67" i="7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AE180" i="7"/>
  <c r="AE181" i="7"/>
  <c r="AE182" i="7"/>
  <c r="AE183" i="7"/>
  <c r="AE184" i="7"/>
  <c r="AE185" i="7"/>
  <c r="AE186" i="7"/>
  <c r="AE187" i="7"/>
  <c r="AE188" i="7"/>
  <c r="AE189" i="7"/>
  <c r="AE190" i="7"/>
  <c r="AE191" i="7"/>
  <c r="AE192" i="7"/>
  <c r="AE193" i="7"/>
  <c r="AE194" i="7"/>
  <c r="AE195" i="7"/>
  <c r="AE196" i="7"/>
  <c r="AE197" i="7"/>
  <c r="AE198" i="7"/>
  <c r="AE199" i="7"/>
  <c r="AE200" i="7"/>
  <c r="AE201" i="7"/>
  <c r="AE202" i="7"/>
  <c r="AE203" i="7"/>
  <c r="AE204" i="7"/>
  <c r="AE205" i="7"/>
  <c r="AE206" i="7"/>
  <c r="AE207" i="7"/>
  <c r="AE208" i="7"/>
  <c r="AE209" i="7"/>
  <c r="AE210" i="7"/>
  <c r="AE211" i="7"/>
  <c r="AE212" i="7"/>
  <c r="AE213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7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1" i="7"/>
  <c r="AI42" i="7"/>
  <c r="AI43" i="7"/>
  <c r="AI44" i="7"/>
  <c r="AI45" i="7"/>
  <c r="AI46" i="7"/>
  <c r="AI47" i="7"/>
  <c r="AI48" i="7"/>
  <c r="AI49" i="7"/>
  <c r="AI50" i="7"/>
  <c r="AI51" i="7"/>
  <c r="AI52" i="7"/>
  <c r="AI53" i="7"/>
  <c r="AI54" i="7"/>
  <c r="AI55" i="7"/>
  <c r="AI56" i="7"/>
  <c r="AI57" i="7"/>
  <c r="AI58" i="7"/>
  <c r="AI59" i="7"/>
  <c r="AI60" i="7"/>
  <c r="AI61" i="7"/>
  <c r="AI62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5" i="7"/>
  <c r="AI76" i="7"/>
  <c r="AI77" i="7"/>
  <c r="AI78" i="7"/>
  <c r="AI79" i="7"/>
  <c r="AI80" i="7"/>
  <c r="AI81" i="7"/>
  <c r="AI82" i="7"/>
  <c r="AI83" i="7"/>
  <c r="AI84" i="7"/>
  <c r="AI85" i="7"/>
  <c r="AI86" i="7"/>
  <c r="AI87" i="7"/>
  <c r="AI88" i="7"/>
  <c r="AI89" i="7"/>
  <c r="AI90" i="7"/>
  <c r="AI91" i="7"/>
  <c r="AI92" i="7"/>
  <c r="AI93" i="7"/>
  <c r="AI94" i="7"/>
  <c r="AI95" i="7"/>
  <c r="AI96" i="7"/>
  <c r="AI97" i="7"/>
  <c r="AI98" i="7"/>
  <c r="AI99" i="7"/>
  <c r="AI100" i="7"/>
  <c r="AI101" i="7"/>
  <c r="AI102" i="7"/>
  <c r="AI103" i="7"/>
  <c r="AI104" i="7"/>
  <c r="AI105" i="7"/>
  <c r="AI106" i="7"/>
  <c r="AI107" i="7"/>
  <c r="AI108" i="7"/>
  <c r="AI109" i="7"/>
  <c r="AI110" i="7"/>
  <c r="AI111" i="7"/>
  <c r="AI112" i="7"/>
  <c r="AI113" i="7"/>
  <c r="AI114" i="7"/>
  <c r="AI115" i="7"/>
  <c r="AI116" i="7"/>
  <c r="AI117" i="7"/>
  <c r="AI118" i="7"/>
  <c r="AI119" i="7"/>
  <c r="AI120" i="7"/>
  <c r="AI121" i="7"/>
  <c r="AI122" i="7"/>
  <c r="AI123" i="7"/>
  <c r="AI124" i="7"/>
  <c r="AI125" i="7"/>
  <c r="AI126" i="7"/>
  <c r="AI127" i="7"/>
  <c r="AI128" i="7"/>
  <c r="AI129" i="7"/>
  <c r="AI130" i="7"/>
  <c r="AI131" i="7"/>
  <c r="AI132" i="7"/>
  <c r="AI133" i="7"/>
  <c r="AI134" i="7"/>
  <c r="AI135" i="7"/>
  <c r="AI136" i="7"/>
  <c r="AI137" i="7"/>
  <c r="AI138" i="7"/>
  <c r="AI139" i="7"/>
  <c r="AI140" i="7"/>
  <c r="AI141" i="7"/>
  <c r="AI142" i="7"/>
  <c r="AI143" i="7"/>
  <c r="AI144" i="7"/>
  <c r="AI145" i="7"/>
  <c r="AI146" i="7"/>
  <c r="AI147" i="7"/>
  <c r="AI148" i="7"/>
  <c r="AI149" i="7"/>
  <c r="AI150" i="7"/>
  <c r="AI151" i="7"/>
  <c r="AI152" i="7"/>
  <c r="AI153" i="7"/>
  <c r="AI154" i="7"/>
  <c r="AI155" i="7"/>
  <c r="AI156" i="7"/>
  <c r="AI157" i="7"/>
  <c r="AI158" i="7"/>
  <c r="AI159" i="7"/>
  <c r="AI160" i="7"/>
  <c r="AI161" i="7"/>
  <c r="AI162" i="7"/>
  <c r="AI163" i="7"/>
  <c r="AI164" i="7"/>
  <c r="AI165" i="7"/>
  <c r="AI166" i="7"/>
  <c r="AI167" i="7"/>
  <c r="AI168" i="7"/>
  <c r="AI169" i="7"/>
  <c r="AI170" i="7"/>
  <c r="AI171" i="7"/>
  <c r="AI172" i="7"/>
  <c r="AI173" i="7"/>
  <c r="AI174" i="7"/>
  <c r="AI175" i="7"/>
  <c r="AI176" i="7"/>
  <c r="AI177" i="7"/>
  <c r="AI178" i="7"/>
  <c r="AI179" i="7"/>
  <c r="AI180" i="7"/>
  <c r="AI181" i="7"/>
  <c r="AI182" i="7"/>
  <c r="AI183" i="7"/>
  <c r="AI184" i="7"/>
  <c r="AI185" i="7"/>
  <c r="AI186" i="7"/>
  <c r="AI187" i="7"/>
  <c r="AI188" i="7"/>
  <c r="AI189" i="7"/>
  <c r="AI190" i="7"/>
  <c r="AI191" i="7"/>
  <c r="AI192" i="7"/>
  <c r="AI193" i="7"/>
  <c r="AI194" i="7"/>
  <c r="AI195" i="7"/>
  <c r="AI196" i="7"/>
  <c r="AI197" i="7"/>
  <c r="AI198" i="7"/>
  <c r="AI199" i="7"/>
  <c r="AI200" i="7"/>
  <c r="AI201" i="7"/>
  <c r="AI202" i="7"/>
  <c r="AI203" i="7"/>
  <c r="AI204" i="7"/>
  <c r="AI205" i="7"/>
  <c r="AI206" i="7"/>
  <c r="AI207" i="7"/>
  <c r="AI208" i="7"/>
  <c r="AI209" i="7"/>
  <c r="AI210" i="7"/>
  <c r="AI211" i="7"/>
  <c r="AI212" i="7"/>
  <c r="AI213" i="7"/>
  <c r="AN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R39" i="7"/>
  <c r="AR40" i="7"/>
  <c r="AR41" i="7"/>
  <c r="AR42" i="7"/>
  <c r="AR43" i="7"/>
  <c r="AR44" i="7"/>
  <c r="AR45" i="7"/>
  <c r="AR46" i="7"/>
  <c r="AR47" i="7"/>
  <c r="AR48" i="7"/>
  <c r="AR49" i="7"/>
  <c r="AR50" i="7"/>
  <c r="AR51" i="7"/>
  <c r="AR52" i="7"/>
  <c r="AR53" i="7"/>
  <c r="AR54" i="7"/>
  <c r="AR55" i="7"/>
  <c r="AR56" i="7"/>
  <c r="AR57" i="7"/>
  <c r="AR58" i="7"/>
  <c r="AR59" i="7"/>
  <c r="AR60" i="7"/>
  <c r="AR61" i="7"/>
  <c r="AR62" i="7"/>
  <c r="AR63" i="7"/>
  <c r="AR64" i="7"/>
  <c r="AR65" i="7"/>
  <c r="AR66" i="7"/>
  <c r="AR67" i="7"/>
  <c r="AR68" i="7"/>
  <c r="AR69" i="7"/>
  <c r="AR70" i="7"/>
  <c r="AR71" i="7"/>
  <c r="AR72" i="7"/>
  <c r="AR73" i="7"/>
  <c r="AR74" i="7"/>
  <c r="AR75" i="7"/>
  <c r="AR76" i="7"/>
  <c r="AR77" i="7"/>
  <c r="AR78" i="7"/>
  <c r="AR79" i="7"/>
  <c r="AR80" i="7"/>
  <c r="AR81" i="7"/>
  <c r="AR82" i="7"/>
  <c r="AR83" i="7"/>
  <c r="AR84" i="7"/>
  <c r="AR85" i="7"/>
  <c r="AR86" i="7"/>
  <c r="AR87" i="7"/>
  <c r="AR88" i="7"/>
  <c r="AR89" i="7"/>
  <c r="AR90" i="7"/>
  <c r="AR91" i="7"/>
  <c r="AR92" i="7"/>
  <c r="AR93" i="7"/>
  <c r="AR94" i="7"/>
  <c r="AR95" i="7"/>
  <c r="AR96" i="7"/>
  <c r="AR97" i="7"/>
  <c r="AR98" i="7"/>
  <c r="AR99" i="7"/>
  <c r="AR100" i="7"/>
  <c r="AR101" i="7"/>
  <c r="AR102" i="7"/>
  <c r="AR103" i="7"/>
  <c r="AR104" i="7"/>
  <c r="AR105" i="7"/>
  <c r="AR106" i="7"/>
  <c r="AR107" i="7"/>
  <c r="AR108" i="7"/>
  <c r="AR109" i="7"/>
  <c r="AR110" i="7"/>
  <c r="AR111" i="7"/>
  <c r="AR112" i="7"/>
  <c r="AR113" i="7"/>
  <c r="AR114" i="7"/>
  <c r="AR115" i="7"/>
  <c r="AR116" i="7"/>
  <c r="AR117" i="7"/>
  <c r="AR118" i="7"/>
  <c r="AR119" i="7"/>
  <c r="AR120" i="7"/>
  <c r="AR121" i="7"/>
  <c r="AR122" i="7"/>
  <c r="AR123" i="7"/>
  <c r="AR124" i="7"/>
  <c r="AR125" i="7"/>
  <c r="AR126" i="7"/>
  <c r="AR127" i="7"/>
  <c r="AR128" i="7"/>
  <c r="AR129" i="7"/>
  <c r="AR130" i="7"/>
  <c r="AR131" i="7"/>
  <c r="AR132" i="7"/>
  <c r="AR133" i="7"/>
  <c r="AR134" i="7"/>
  <c r="AR135" i="7"/>
  <c r="AR136" i="7"/>
  <c r="AR137" i="7"/>
  <c r="AR138" i="7"/>
  <c r="AR139" i="7"/>
  <c r="AR140" i="7"/>
  <c r="AR141" i="7"/>
  <c r="AR142" i="7"/>
  <c r="AR143" i="7"/>
  <c r="AR144" i="7"/>
  <c r="AR145" i="7"/>
  <c r="AR146" i="7"/>
  <c r="AR147" i="7"/>
  <c r="AR148" i="7"/>
  <c r="AR149" i="7"/>
  <c r="AR150" i="7"/>
  <c r="AR151" i="7"/>
  <c r="AR152" i="7"/>
  <c r="AR153" i="7"/>
  <c r="AR154" i="7"/>
  <c r="AR155" i="7"/>
  <c r="AR156" i="7"/>
  <c r="AR157" i="7"/>
  <c r="AR158" i="7"/>
  <c r="AR159" i="7"/>
  <c r="AR160" i="7"/>
  <c r="AR161" i="7"/>
  <c r="AR162" i="7"/>
  <c r="AR163" i="7"/>
  <c r="AR164" i="7"/>
  <c r="AR165" i="7"/>
  <c r="AR166" i="7"/>
  <c r="AR167" i="7"/>
  <c r="AR168" i="7"/>
  <c r="AR169" i="7"/>
  <c r="AR170" i="7"/>
  <c r="AR171" i="7"/>
  <c r="AR172" i="7"/>
  <c r="AR173" i="7"/>
  <c r="AR174" i="7"/>
  <c r="AR175" i="7"/>
  <c r="AR176" i="7"/>
  <c r="AR177" i="7"/>
  <c r="AR178" i="7"/>
  <c r="AR179" i="7"/>
  <c r="AR180" i="7"/>
  <c r="AR181" i="7"/>
  <c r="AR182" i="7"/>
  <c r="AR183" i="7"/>
  <c r="AR184" i="7"/>
  <c r="AR185" i="7"/>
  <c r="AR186" i="7"/>
  <c r="AR187" i="7"/>
  <c r="AR188" i="7"/>
  <c r="AR189" i="7"/>
  <c r="AR190" i="7"/>
  <c r="AR191" i="7"/>
  <c r="AR192" i="7"/>
  <c r="AR193" i="7"/>
  <c r="AR194" i="7"/>
  <c r="AR195" i="7"/>
  <c r="AR196" i="7"/>
  <c r="AR197" i="7"/>
  <c r="AR198" i="7"/>
  <c r="AR199" i="7"/>
  <c r="AR200" i="7"/>
  <c r="AR201" i="7"/>
  <c r="AR202" i="7"/>
  <c r="AR203" i="7"/>
  <c r="AR204" i="7"/>
  <c r="AR205" i="7"/>
  <c r="AR206" i="7"/>
  <c r="AR207" i="7"/>
  <c r="AR208" i="7"/>
  <c r="AR209" i="7"/>
  <c r="AR210" i="7"/>
  <c r="AR211" i="7"/>
  <c r="AR212" i="7"/>
  <c r="AR213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Z39" i="7"/>
  <c r="AZ40" i="7"/>
  <c r="AZ41" i="7"/>
  <c r="AZ42" i="7"/>
  <c r="AZ43" i="7"/>
  <c r="AZ44" i="7"/>
  <c r="AZ45" i="7"/>
  <c r="AZ46" i="7"/>
  <c r="AZ47" i="7"/>
  <c r="AZ48" i="7"/>
  <c r="AZ49" i="7"/>
  <c r="AZ50" i="7"/>
  <c r="AZ51" i="7"/>
  <c r="AZ52" i="7"/>
  <c r="AZ53" i="7"/>
  <c r="AZ54" i="7"/>
  <c r="AZ55" i="7"/>
  <c r="AZ56" i="7"/>
  <c r="AZ57" i="7"/>
  <c r="AZ58" i="7"/>
  <c r="AZ59" i="7"/>
  <c r="AZ60" i="7"/>
  <c r="AZ61" i="7"/>
  <c r="AZ62" i="7"/>
  <c r="AZ63" i="7"/>
  <c r="AZ64" i="7"/>
  <c r="AZ65" i="7"/>
  <c r="AZ66" i="7"/>
  <c r="AZ67" i="7"/>
  <c r="AZ68" i="7"/>
  <c r="AZ69" i="7"/>
  <c r="AZ70" i="7"/>
  <c r="AZ71" i="7"/>
  <c r="AZ72" i="7"/>
  <c r="AZ73" i="7"/>
  <c r="AZ74" i="7"/>
  <c r="AZ75" i="7"/>
  <c r="AZ76" i="7"/>
  <c r="AZ77" i="7"/>
  <c r="AZ78" i="7"/>
  <c r="AZ79" i="7"/>
  <c r="AZ80" i="7"/>
  <c r="AZ81" i="7"/>
  <c r="AZ82" i="7"/>
  <c r="AZ83" i="7"/>
  <c r="AZ84" i="7"/>
  <c r="AZ85" i="7"/>
  <c r="AZ86" i="7"/>
  <c r="AZ87" i="7"/>
  <c r="AZ88" i="7"/>
  <c r="AZ89" i="7"/>
  <c r="AZ90" i="7"/>
  <c r="AZ91" i="7"/>
  <c r="AZ92" i="7"/>
  <c r="AZ93" i="7"/>
  <c r="AZ94" i="7"/>
  <c r="AZ95" i="7"/>
  <c r="AZ96" i="7"/>
  <c r="AZ97" i="7"/>
  <c r="AZ98" i="7"/>
  <c r="AZ99" i="7"/>
  <c r="AZ100" i="7"/>
  <c r="AZ101" i="7"/>
  <c r="AZ102" i="7"/>
  <c r="AZ103" i="7"/>
  <c r="AZ104" i="7"/>
  <c r="AZ105" i="7"/>
  <c r="AZ106" i="7"/>
  <c r="AZ107" i="7"/>
  <c r="AZ108" i="7"/>
  <c r="AZ109" i="7"/>
  <c r="AZ110" i="7"/>
  <c r="AZ111" i="7"/>
  <c r="AZ112" i="7"/>
  <c r="AZ113" i="7"/>
  <c r="AZ114" i="7"/>
  <c r="AZ115" i="7"/>
  <c r="AZ116" i="7"/>
  <c r="AZ117" i="7"/>
  <c r="AZ118" i="7"/>
  <c r="AZ119" i="7"/>
  <c r="AZ120" i="7"/>
  <c r="AZ121" i="7"/>
  <c r="AZ122" i="7"/>
  <c r="AZ123" i="7"/>
  <c r="AZ124" i="7"/>
  <c r="AZ125" i="7"/>
  <c r="AZ126" i="7"/>
  <c r="AZ127" i="7"/>
  <c r="AZ128" i="7"/>
  <c r="AZ129" i="7"/>
  <c r="AZ130" i="7"/>
  <c r="AZ131" i="7"/>
  <c r="AZ132" i="7"/>
  <c r="AZ133" i="7"/>
  <c r="AZ134" i="7"/>
  <c r="AZ135" i="7"/>
  <c r="AZ136" i="7"/>
  <c r="AZ137" i="7"/>
  <c r="AZ138" i="7"/>
  <c r="AZ139" i="7"/>
  <c r="AZ140" i="7"/>
  <c r="AZ141" i="7"/>
  <c r="AZ142" i="7"/>
  <c r="AZ143" i="7"/>
  <c r="AZ144" i="7"/>
  <c r="AZ145" i="7"/>
  <c r="AZ146" i="7"/>
  <c r="AZ147" i="7"/>
  <c r="AZ148" i="7"/>
  <c r="AZ149" i="7"/>
  <c r="AZ150" i="7"/>
  <c r="AZ151" i="7"/>
  <c r="AZ152" i="7"/>
  <c r="AZ153" i="7"/>
  <c r="AZ154" i="7"/>
  <c r="AZ155" i="7"/>
  <c r="AZ156" i="7"/>
  <c r="AZ157" i="7"/>
  <c r="AZ158" i="7"/>
  <c r="AZ159" i="7"/>
  <c r="AZ160" i="7"/>
  <c r="AZ161" i="7"/>
  <c r="AZ162" i="7"/>
  <c r="AZ163" i="7"/>
  <c r="AZ164" i="7"/>
  <c r="AZ165" i="7"/>
  <c r="AZ166" i="7"/>
  <c r="AZ167" i="7"/>
  <c r="AZ168" i="7"/>
  <c r="AZ169" i="7"/>
  <c r="AZ170" i="7"/>
  <c r="AZ171" i="7"/>
  <c r="AZ172" i="7"/>
  <c r="AZ173" i="7"/>
  <c r="AZ174" i="7"/>
  <c r="AZ175" i="7"/>
  <c r="AZ176" i="7"/>
  <c r="AZ177" i="7"/>
  <c r="AZ178" i="7"/>
  <c r="AZ179" i="7"/>
  <c r="AZ180" i="7"/>
  <c r="AZ181" i="7"/>
  <c r="AZ182" i="7"/>
  <c r="AZ183" i="7"/>
  <c r="AZ184" i="7"/>
  <c r="AZ185" i="7"/>
  <c r="AZ186" i="7"/>
  <c r="AZ187" i="7"/>
  <c r="AZ188" i="7"/>
  <c r="AZ189" i="7"/>
  <c r="AZ190" i="7"/>
  <c r="AZ191" i="7"/>
  <c r="AZ192" i="7"/>
  <c r="AZ193" i="7"/>
  <c r="AZ194" i="7"/>
  <c r="AZ195" i="7"/>
  <c r="AZ196" i="7"/>
  <c r="AZ197" i="7"/>
  <c r="AZ198" i="7"/>
  <c r="AZ199" i="7"/>
  <c r="AZ200" i="7"/>
  <c r="AZ201" i="7"/>
  <c r="AZ202" i="7"/>
  <c r="AZ203" i="7"/>
  <c r="AZ204" i="7"/>
  <c r="AZ205" i="7"/>
  <c r="AZ206" i="7"/>
  <c r="AZ207" i="7"/>
  <c r="AZ208" i="7"/>
  <c r="AZ209" i="7"/>
  <c r="AZ210" i="7"/>
  <c r="AZ211" i="7"/>
  <c r="AZ212" i="7"/>
  <c r="AZ213" i="7"/>
  <c r="BD6" i="7"/>
  <c r="BD7" i="7"/>
  <c r="BD8" i="7"/>
  <c r="BD9" i="7"/>
  <c r="BD10" i="7"/>
  <c r="W6" i="7"/>
  <c r="W7" i="7"/>
  <c r="W8" i="7"/>
  <c r="S6" i="7"/>
  <c r="S7" i="7"/>
  <c r="S8" i="7"/>
  <c r="S9" i="7"/>
  <c r="AV6" i="7"/>
  <c r="AV7" i="7"/>
  <c r="AV8" i="7"/>
  <c r="AV9" i="7"/>
  <c r="AV10" i="7"/>
  <c r="O6" i="7"/>
  <c r="O7" i="7"/>
  <c r="O8" i="7"/>
  <c r="O9" i="7"/>
  <c r="C6" i="7"/>
  <c r="C7" i="7"/>
  <c r="C8" i="7"/>
  <c r="C9" i="7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AN12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V35" i="7"/>
  <c r="AV36" i="7"/>
  <c r="AV37" i="7"/>
  <c r="AV38" i="7"/>
  <c r="AV39" i="7"/>
  <c r="AV40" i="7"/>
  <c r="AV41" i="7"/>
  <c r="AV42" i="7"/>
  <c r="AV43" i="7"/>
  <c r="AV44" i="7"/>
  <c r="AV45" i="7"/>
  <c r="AV46" i="7"/>
  <c r="AV47" i="7"/>
  <c r="AV48" i="7"/>
  <c r="AV49" i="7"/>
  <c r="AV50" i="7"/>
  <c r="AV51" i="7"/>
  <c r="AV52" i="7"/>
  <c r="AV53" i="7"/>
  <c r="AV54" i="7"/>
  <c r="AV55" i="7"/>
  <c r="AV56" i="7"/>
  <c r="AV57" i="7"/>
  <c r="AV58" i="7"/>
  <c r="AV59" i="7"/>
  <c r="AV60" i="7"/>
  <c r="AV61" i="7"/>
  <c r="AV62" i="7"/>
  <c r="AV63" i="7"/>
  <c r="AV64" i="7"/>
  <c r="AV65" i="7"/>
  <c r="AV66" i="7"/>
  <c r="AV67" i="7"/>
  <c r="AV68" i="7"/>
  <c r="AV69" i="7"/>
  <c r="AV70" i="7"/>
  <c r="AV71" i="7"/>
  <c r="AV72" i="7"/>
  <c r="AV73" i="7"/>
  <c r="AV74" i="7"/>
  <c r="AV75" i="7"/>
  <c r="AV76" i="7"/>
  <c r="AV77" i="7"/>
  <c r="AV78" i="7"/>
  <c r="AV79" i="7"/>
  <c r="AV80" i="7"/>
  <c r="AV81" i="7"/>
  <c r="AV82" i="7"/>
  <c r="AV83" i="7"/>
  <c r="AV84" i="7"/>
  <c r="AV85" i="7"/>
  <c r="AV86" i="7"/>
  <c r="AV87" i="7"/>
  <c r="AV88" i="7"/>
  <c r="AV89" i="7"/>
  <c r="AV90" i="7"/>
  <c r="AV91" i="7"/>
  <c r="AV92" i="7"/>
  <c r="AV93" i="7"/>
  <c r="AV94" i="7"/>
  <c r="AV95" i="7"/>
  <c r="AV96" i="7"/>
  <c r="AV97" i="7"/>
  <c r="AV98" i="7"/>
  <c r="AV99" i="7"/>
  <c r="AV100" i="7"/>
  <c r="AV101" i="7"/>
  <c r="AV102" i="7"/>
  <c r="AV103" i="7"/>
  <c r="AV104" i="7"/>
  <c r="AV105" i="7"/>
  <c r="AV106" i="7"/>
  <c r="AV107" i="7"/>
  <c r="AV108" i="7"/>
  <c r="AV109" i="7"/>
  <c r="AV110" i="7"/>
  <c r="AV111" i="7"/>
  <c r="AV112" i="7"/>
  <c r="AV113" i="7"/>
  <c r="AV114" i="7"/>
  <c r="AV115" i="7"/>
  <c r="AV116" i="7"/>
  <c r="AV117" i="7"/>
  <c r="AV118" i="7"/>
  <c r="AV119" i="7"/>
  <c r="AV120" i="7"/>
  <c r="AV121" i="7"/>
  <c r="AV122" i="7"/>
  <c r="AV123" i="7"/>
  <c r="AV124" i="7"/>
  <c r="AV125" i="7"/>
  <c r="AV126" i="7"/>
  <c r="AV127" i="7"/>
  <c r="AV128" i="7"/>
  <c r="AV129" i="7"/>
  <c r="AV130" i="7"/>
  <c r="AV131" i="7"/>
  <c r="AV132" i="7"/>
  <c r="AV133" i="7"/>
  <c r="AV134" i="7"/>
  <c r="AV135" i="7"/>
  <c r="AV136" i="7"/>
  <c r="AV137" i="7"/>
  <c r="AV138" i="7"/>
  <c r="AV139" i="7"/>
  <c r="AV140" i="7"/>
  <c r="AV141" i="7"/>
  <c r="AV142" i="7"/>
  <c r="AV143" i="7"/>
  <c r="AV144" i="7"/>
  <c r="AV145" i="7"/>
  <c r="AV146" i="7"/>
  <c r="AV147" i="7"/>
  <c r="AV148" i="7"/>
  <c r="AV149" i="7"/>
  <c r="AV150" i="7"/>
  <c r="AV151" i="7"/>
  <c r="AV152" i="7"/>
  <c r="AV153" i="7"/>
  <c r="AV154" i="7"/>
  <c r="AV155" i="7"/>
  <c r="AV156" i="7"/>
  <c r="AV157" i="7"/>
  <c r="AV158" i="7"/>
  <c r="AV159" i="7"/>
  <c r="AV160" i="7"/>
  <c r="AV161" i="7"/>
  <c r="AV162" i="7"/>
  <c r="AV163" i="7"/>
  <c r="AV164" i="7"/>
  <c r="AV165" i="7"/>
  <c r="AV166" i="7"/>
  <c r="AV167" i="7"/>
  <c r="AV168" i="7"/>
  <c r="AV169" i="7"/>
  <c r="AV170" i="7"/>
  <c r="AV171" i="7"/>
  <c r="AV172" i="7"/>
  <c r="AV173" i="7"/>
  <c r="AV174" i="7"/>
  <c r="AV175" i="7"/>
  <c r="AV176" i="7"/>
  <c r="AV177" i="7"/>
  <c r="AV178" i="7"/>
  <c r="AV179" i="7"/>
  <c r="AV180" i="7"/>
  <c r="AV181" i="7"/>
  <c r="AV182" i="7"/>
  <c r="AV183" i="7"/>
  <c r="AV184" i="7"/>
  <c r="AV185" i="7"/>
  <c r="AV186" i="7"/>
  <c r="AV187" i="7"/>
  <c r="AV188" i="7"/>
  <c r="AV189" i="7"/>
  <c r="AV190" i="7"/>
  <c r="AV191" i="7"/>
  <c r="AV192" i="7"/>
  <c r="AV193" i="7"/>
  <c r="AV194" i="7"/>
  <c r="AV195" i="7"/>
  <c r="AV196" i="7"/>
  <c r="AV197" i="7"/>
  <c r="AV198" i="7"/>
  <c r="AV199" i="7"/>
  <c r="AV200" i="7"/>
  <c r="AV201" i="7"/>
  <c r="AV202" i="7"/>
  <c r="AV203" i="7"/>
  <c r="AV204" i="7"/>
  <c r="AV205" i="7"/>
  <c r="AV206" i="7"/>
  <c r="AV207" i="7"/>
  <c r="AV208" i="7"/>
  <c r="AV209" i="7"/>
  <c r="AV210" i="7"/>
  <c r="AV211" i="7"/>
  <c r="AV212" i="7"/>
  <c r="AV213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D35" i="7"/>
  <c r="BD36" i="7"/>
  <c r="BD37" i="7"/>
  <c r="BD38" i="7"/>
  <c r="BD39" i="7"/>
  <c r="BD40" i="7"/>
  <c r="BD41" i="7"/>
  <c r="BD42" i="7"/>
  <c r="BD43" i="7"/>
  <c r="BD44" i="7"/>
  <c r="BD45" i="7"/>
  <c r="BD46" i="7"/>
  <c r="BD47" i="7"/>
  <c r="BD48" i="7"/>
  <c r="BD49" i="7"/>
  <c r="BD50" i="7"/>
  <c r="BD51" i="7"/>
  <c r="BD52" i="7"/>
  <c r="BD53" i="7"/>
  <c r="BD54" i="7"/>
  <c r="BD55" i="7"/>
  <c r="BD56" i="7"/>
  <c r="BD57" i="7"/>
  <c r="BD58" i="7"/>
  <c r="BD59" i="7"/>
  <c r="BD60" i="7"/>
  <c r="BD61" i="7"/>
  <c r="BD62" i="7"/>
  <c r="BD63" i="7"/>
  <c r="BD64" i="7"/>
  <c r="BD65" i="7"/>
  <c r="BD66" i="7"/>
  <c r="BD67" i="7"/>
  <c r="BD68" i="7"/>
  <c r="BD69" i="7"/>
  <c r="BD70" i="7"/>
  <c r="BD71" i="7"/>
  <c r="BD72" i="7"/>
  <c r="BD73" i="7"/>
  <c r="BD74" i="7"/>
  <c r="BD75" i="7"/>
  <c r="BD76" i="7"/>
  <c r="BD77" i="7"/>
  <c r="BD78" i="7"/>
  <c r="BD79" i="7"/>
  <c r="BD80" i="7"/>
  <c r="BD81" i="7"/>
  <c r="BD82" i="7"/>
  <c r="BD83" i="7"/>
  <c r="BD84" i="7"/>
  <c r="BD85" i="7"/>
  <c r="BD86" i="7"/>
  <c r="BD87" i="7"/>
  <c r="BD88" i="7"/>
  <c r="BD89" i="7"/>
  <c r="BD90" i="7"/>
  <c r="BD91" i="7"/>
  <c r="BD92" i="7"/>
  <c r="BD93" i="7"/>
  <c r="BD94" i="7"/>
  <c r="BD95" i="7"/>
  <c r="BD96" i="7"/>
  <c r="BD97" i="7"/>
  <c r="BD98" i="7"/>
  <c r="BD99" i="7"/>
  <c r="BD100" i="7"/>
  <c r="BD101" i="7"/>
  <c r="BD102" i="7"/>
  <c r="BD103" i="7"/>
  <c r="BD104" i="7"/>
  <c r="BD105" i="7"/>
  <c r="BD106" i="7"/>
  <c r="BD107" i="7"/>
  <c r="BD108" i="7"/>
  <c r="BD109" i="7"/>
  <c r="BD110" i="7"/>
  <c r="BD111" i="7"/>
  <c r="BD112" i="7"/>
  <c r="BD113" i="7"/>
  <c r="BD114" i="7"/>
  <c r="BD115" i="7"/>
  <c r="BD116" i="7"/>
  <c r="BD117" i="7"/>
  <c r="BD118" i="7"/>
  <c r="BD119" i="7"/>
  <c r="BD120" i="7"/>
  <c r="BD121" i="7"/>
  <c r="BD122" i="7"/>
  <c r="BD123" i="7"/>
  <c r="BD124" i="7"/>
  <c r="BD125" i="7"/>
  <c r="BD126" i="7"/>
  <c r="BD127" i="7"/>
  <c r="BD128" i="7"/>
  <c r="BD129" i="7"/>
  <c r="BD130" i="7"/>
  <c r="BD131" i="7"/>
  <c r="BD132" i="7"/>
  <c r="BD133" i="7"/>
  <c r="BD134" i="7"/>
  <c r="BD135" i="7"/>
  <c r="BD136" i="7"/>
  <c r="BD137" i="7"/>
  <c r="BD138" i="7"/>
  <c r="BD139" i="7"/>
  <c r="BD140" i="7"/>
  <c r="BD141" i="7"/>
  <c r="BD142" i="7"/>
  <c r="BD143" i="7"/>
  <c r="BD144" i="7"/>
  <c r="BD145" i="7"/>
  <c r="BD146" i="7"/>
  <c r="BD147" i="7"/>
  <c r="BD148" i="7"/>
  <c r="BD149" i="7"/>
  <c r="BD150" i="7"/>
  <c r="BD151" i="7"/>
  <c r="BD152" i="7"/>
  <c r="BD153" i="7"/>
  <c r="BD154" i="7"/>
  <c r="BD155" i="7"/>
  <c r="BD156" i="7"/>
  <c r="BD157" i="7"/>
  <c r="BD158" i="7"/>
  <c r="BD159" i="7"/>
  <c r="BD160" i="7"/>
  <c r="BD161" i="7"/>
  <c r="BD162" i="7"/>
  <c r="BD163" i="7"/>
  <c r="BD164" i="7"/>
  <c r="BD165" i="7"/>
  <c r="BD166" i="7"/>
  <c r="BD167" i="7"/>
  <c r="BD168" i="7"/>
  <c r="BD169" i="7"/>
  <c r="BD170" i="7"/>
  <c r="BD171" i="7"/>
  <c r="BD172" i="7"/>
  <c r="BD173" i="7"/>
  <c r="BD174" i="7"/>
  <c r="BD175" i="7"/>
  <c r="BD176" i="7"/>
  <c r="BD177" i="7"/>
  <c r="BD178" i="7"/>
  <c r="BD179" i="7"/>
  <c r="BD180" i="7"/>
  <c r="BD181" i="7"/>
  <c r="BD182" i="7"/>
  <c r="BD183" i="7"/>
  <c r="BD184" i="7"/>
  <c r="BD185" i="7"/>
  <c r="BD186" i="7"/>
  <c r="BD187" i="7"/>
  <c r="BD188" i="7"/>
  <c r="BD189" i="7"/>
  <c r="BD190" i="7"/>
  <c r="BD191" i="7"/>
  <c r="BD192" i="7"/>
  <c r="BD193" i="7"/>
  <c r="BD194" i="7"/>
  <c r="BD195" i="7"/>
  <c r="BD196" i="7"/>
  <c r="BD197" i="7"/>
  <c r="BD198" i="7"/>
  <c r="BD199" i="7"/>
  <c r="BD200" i="7"/>
  <c r="BD201" i="7"/>
  <c r="BD202" i="7"/>
  <c r="BD203" i="7"/>
  <c r="BD204" i="7"/>
  <c r="BD205" i="7"/>
  <c r="BD206" i="7"/>
  <c r="BD207" i="7"/>
  <c r="BD208" i="7"/>
  <c r="BD209" i="7"/>
  <c r="BD210" i="7"/>
  <c r="BD211" i="7"/>
  <c r="BD212" i="7"/>
  <c r="BD213" i="7"/>
  <c r="W9" i="7"/>
  <c r="AN13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N35" i="7"/>
  <c r="AN36" i="7"/>
  <c r="AN37" i="7"/>
  <c r="AN38" i="7"/>
  <c r="AN39" i="7"/>
  <c r="AN40" i="7"/>
  <c r="AN41" i="7"/>
  <c r="AN42" i="7"/>
  <c r="AN43" i="7"/>
  <c r="AN44" i="7"/>
  <c r="AN45" i="7"/>
  <c r="AN46" i="7"/>
  <c r="AN47" i="7"/>
  <c r="AN48" i="7"/>
  <c r="AN49" i="7"/>
  <c r="AN50" i="7"/>
  <c r="AN51" i="7"/>
  <c r="AN52" i="7"/>
  <c r="AN53" i="7"/>
  <c r="AN54" i="7"/>
  <c r="AN55" i="7"/>
  <c r="AN56" i="7"/>
  <c r="AN57" i="7"/>
  <c r="AN58" i="7"/>
  <c r="AN59" i="7"/>
  <c r="AN60" i="7"/>
  <c r="AN61" i="7"/>
  <c r="AN62" i="7"/>
  <c r="AN63" i="7"/>
  <c r="AN64" i="7"/>
  <c r="AN65" i="7"/>
  <c r="AN66" i="7"/>
  <c r="AN67" i="7"/>
  <c r="AN68" i="7"/>
  <c r="AN69" i="7"/>
  <c r="AN70" i="7"/>
  <c r="AN71" i="7"/>
  <c r="AN72" i="7"/>
  <c r="AN73" i="7"/>
  <c r="AN74" i="7"/>
  <c r="AN75" i="7"/>
  <c r="AN76" i="7"/>
  <c r="AN77" i="7"/>
  <c r="AN78" i="7"/>
  <c r="AN79" i="7"/>
  <c r="AN80" i="7"/>
  <c r="AN81" i="7"/>
  <c r="AN82" i="7"/>
  <c r="AN83" i="7"/>
  <c r="AN84" i="7"/>
  <c r="AN85" i="7"/>
  <c r="AN86" i="7"/>
  <c r="AN87" i="7"/>
  <c r="AN88" i="7"/>
  <c r="AN89" i="7"/>
  <c r="AN90" i="7"/>
  <c r="AN91" i="7"/>
  <c r="AN92" i="7"/>
  <c r="AN93" i="7"/>
  <c r="AN94" i="7"/>
  <c r="AN95" i="7"/>
  <c r="AN96" i="7"/>
  <c r="AN97" i="7"/>
  <c r="AN98" i="7"/>
  <c r="AN99" i="7"/>
  <c r="AN100" i="7"/>
  <c r="AN101" i="7"/>
  <c r="AN102" i="7"/>
  <c r="AN103" i="7"/>
  <c r="AN104" i="7"/>
  <c r="AN105" i="7"/>
  <c r="AN106" i="7"/>
  <c r="AN107" i="7"/>
  <c r="AN108" i="7"/>
  <c r="AN109" i="7"/>
  <c r="AN110" i="7"/>
  <c r="AN111" i="7"/>
  <c r="AN112" i="7"/>
  <c r="AN113" i="7"/>
  <c r="AN114" i="7"/>
  <c r="AN115" i="7"/>
  <c r="AN116" i="7"/>
  <c r="AN117" i="7"/>
  <c r="AN118" i="7"/>
  <c r="AN119" i="7"/>
  <c r="AN120" i="7"/>
  <c r="AN121" i="7"/>
  <c r="AN122" i="7"/>
  <c r="AN123" i="7"/>
  <c r="AN124" i="7"/>
  <c r="AN125" i="7"/>
  <c r="AN126" i="7"/>
  <c r="AN127" i="7"/>
  <c r="AN128" i="7"/>
  <c r="AN129" i="7"/>
  <c r="AN130" i="7"/>
  <c r="AN131" i="7"/>
  <c r="AN132" i="7"/>
  <c r="AN133" i="7"/>
  <c r="AN134" i="7"/>
  <c r="AN135" i="7"/>
  <c r="AN136" i="7"/>
  <c r="AN137" i="7"/>
  <c r="AN138" i="7"/>
  <c r="AN139" i="7"/>
  <c r="AN140" i="7"/>
  <c r="AN141" i="7"/>
  <c r="AN142" i="7"/>
  <c r="AN143" i="7"/>
  <c r="AN144" i="7"/>
  <c r="AN145" i="7"/>
  <c r="AN146" i="7"/>
  <c r="AN147" i="7"/>
  <c r="AN148" i="7"/>
  <c r="AN149" i="7"/>
  <c r="AN150" i="7"/>
  <c r="AN151" i="7"/>
  <c r="AN152" i="7"/>
  <c r="AN153" i="7"/>
  <c r="AN154" i="7"/>
  <c r="AN155" i="7"/>
  <c r="AN156" i="7"/>
  <c r="AN157" i="7"/>
  <c r="AN158" i="7"/>
  <c r="AN159" i="7"/>
  <c r="AN160" i="7"/>
  <c r="AN161" i="7"/>
  <c r="AN162" i="7"/>
  <c r="AN163" i="7"/>
  <c r="AN164" i="7"/>
  <c r="AN165" i="7"/>
  <c r="AN166" i="7"/>
  <c r="AN167" i="7"/>
  <c r="AN168" i="7"/>
  <c r="AN169" i="7"/>
  <c r="AN170" i="7"/>
  <c r="AN171" i="7"/>
  <c r="AN172" i="7"/>
  <c r="AN173" i="7"/>
  <c r="AN174" i="7"/>
  <c r="AN175" i="7"/>
  <c r="AN176" i="7"/>
  <c r="AN177" i="7"/>
  <c r="AN178" i="7"/>
  <c r="AN179" i="7"/>
  <c r="AN180" i="7"/>
  <c r="AN181" i="7"/>
  <c r="AN182" i="7"/>
  <c r="AN183" i="7"/>
  <c r="AN184" i="7"/>
  <c r="AN185" i="7"/>
  <c r="AN186" i="7"/>
  <c r="AN187" i="7"/>
  <c r="AN188" i="7"/>
  <c r="AN189" i="7"/>
  <c r="AN190" i="7"/>
  <c r="AN191" i="7"/>
  <c r="AN192" i="7"/>
  <c r="AN193" i="7"/>
  <c r="AN194" i="7"/>
  <c r="AN195" i="7"/>
  <c r="AN196" i="7"/>
  <c r="AN197" i="7"/>
  <c r="AN198" i="7"/>
  <c r="AN199" i="7"/>
  <c r="AN200" i="7"/>
  <c r="AN201" i="7"/>
  <c r="AN202" i="7"/>
  <c r="AN203" i="7"/>
  <c r="AN204" i="7"/>
  <c r="AN205" i="7"/>
  <c r="AN206" i="7"/>
  <c r="AN207" i="7"/>
  <c r="AN208" i="7"/>
  <c r="AN209" i="7"/>
  <c r="AN210" i="7"/>
  <c r="AN211" i="7"/>
  <c r="AN212" i="7"/>
  <c r="AN213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O24" i="10" l="1"/>
  <c r="W24" i="10" s="1"/>
  <c r="K25" i="10"/>
  <c r="S24" i="10"/>
  <c r="O11" i="10"/>
  <c r="O12" i="10" s="1"/>
  <c r="O13" i="10" s="1"/>
  <c r="O14" i="10" s="1"/>
  <c r="O15" i="10" s="1"/>
  <c r="O16" i="10" s="1"/>
  <c r="O17" i="10" s="1"/>
  <c r="O18" i="10" s="1"/>
  <c r="K11" i="10"/>
  <c r="K12" i="10" s="1"/>
  <c r="K13" i="10" s="1"/>
  <c r="K14" i="10" s="1"/>
  <c r="O25" i="10"/>
  <c r="S23" i="10"/>
  <c r="K15" i="10" l="1"/>
  <c r="K16" i="10" s="1"/>
  <c r="K17" i="10" s="1"/>
  <c r="K18" i="10" s="1"/>
  <c r="O26" i="10"/>
  <c r="W25" i="10"/>
  <c r="S25" i="10"/>
  <c r="K26" i="10"/>
  <c r="K27" i="10" l="1"/>
  <c r="S26" i="10"/>
  <c r="O27" i="10"/>
  <c r="W26" i="10"/>
  <c r="W27" i="10" l="1"/>
  <c r="O28" i="10"/>
  <c r="K28" i="10"/>
  <c r="S27" i="10"/>
  <c r="K29" i="10" l="1"/>
  <c r="S28" i="10"/>
  <c r="O29" i="10"/>
  <c r="W28" i="10"/>
  <c r="O30" i="10" l="1"/>
  <c r="W29" i="10"/>
  <c r="S29" i="10"/>
  <c r="K30" i="10"/>
  <c r="K31" i="10" l="1"/>
  <c r="S30" i="10"/>
  <c r="O31" i="10"/>
  <c r="W30" i="10"/>
  <c r="W31" i="10" l="1"/>
  <c r="O32" i="10"/>
  <c r="K32" i="10"/>
  <c r="S31" i="10"/>
  <c r="K33" i="10" l="1"/>
  <c r="S32" i="10"/>
  <c r="O33" i="10"/>
  <c r="W32" i="10"/>
  <c r="O34" i="10" l="1"/>
  <c r="W33" i="10"/>
  <c r="S33" i="10"/>
  <c r="K34" i="10"/>
  <c r="S34" i="10" l="1"/>
  <c r="K35" i="10"/>
  <c r="S35" i="10" s="1"/>
  <c r="O35" i="10"/>
  <c r="W35" i="10" s="1"/>
  <c r="W34" i="10"/>
</calcChain>
</file>

<file path=xl/sharedStrings.xml><?xml version="1.0" encoding="utf-8"?>
<sst xmlns="http://schemas.openxmlformats.org/spreadsheetml/2006/main" count="956" uniqueCount="53">
  <si>
    <t xml:space="preserve">2 &lt; Carg MW ≤ 4 </t>
  </si>
  <si>
    <t xml:space="preserve">4 &lt; Carg MW ≤ 6 </t>
  </si>
  <si>
    <t xml:space="preserve">6 &lt; Carg MW ≤ 8 </t>
  </si>
  <si>
    <t xml:space="preserve">8 &lt; Carg MW ≤ 10 </t>
  </si>
  <si>
    <t>Precio</t>
  </si>
  <si>
    <t xml:space="preserve">0&lt; Carg MW ≤ 2 </t>
  </si>
  <si>
    <t>Incremento</t>
  </si>
  <si>
    <t>Capacidad</t>
  </si>
  <si>
    <t>Estudio de Impacto Ampere</t>
  </si>
  <si>
    <t>Estudio de Instalaciones Ampere</t>
  </si>
  <si>
    <t>Contrato de conexión Ampere</t>
  </si>
  <si>
    <t>Anexo 2 del POC</t>
  </si>
  <si>
    <t>Estudios de la calidad de la energía</t>
  </si>
  <si>
    <t>Modeklado en Psse</t>
  </si>
  <si>
    <t>Operación comercial</t>
  </si>
  <si>
    <t>Modelado en EMTP</t>
  </si>
  <si>
    <t xml:space="preserve">0.5 &lt; Cap MW ≤ 2 </t>
  </si>
  <si>
    <t xml:space="preserve">2 &lt; Cap MW ≤ 4 </t>
  </si>
  <si>
    <t xml:space="preserve">4 &lt; Cap MW ≤ 6 </t>
  </si>
  <si>
    <t xml:space="preserve">6 &lt; Cap MW ≤ 8 </t>
  </si>
  <si>
    <t xml:space="preserve">8 &lt; Cap MW ≤ 10 </t>
  </si>
  <si>
    <t>NA</t>
  </si>
  <si>
    <t>validación de modelos</t>
  </si>
  <si>
    <t>Impacto versión rápida</t>
  </si>
  <si>
    <t>Estudio de indicativo Ampere</t>
  </si>
  <si>
    <t>Capacidad MW</t>
  </si>
  <si>
    <t xml:space="preserve">11 &lt; Cap MW ≤ 30 </t>
  </si>
  <si>
    <t xml:space="preserve">31 &lt; Cap MW ≤ 50 </t>
  </si>
  <si>
    <t xml:space="preserve">51 &lt; Cap MW ≤ 70 </t>
  </si>
  <si>
    <t xml:space="preserve">71 &lt; Cap MW ≤ 100 </t>
  </si>
  <si>
    <t>Contrato de interconexión Ampere</t>
  </si>
  <si>
    <t>Elaboración de Diagramas Detallados</t>
  </si>
  <si>
    <t>Anexo 1 del POC (Puesta en Servicio de la CE)</t>
  </si>
  <si>
    <t>SAPPSE</t>
  </si>
  <si>
    <t>Columna1</t>
  </si>
  <si>
    <t xml:space="preserve">PRUEBAS DE LA CE </t>
  </si>
  <si>
    <t>Inflación</t>
  </si>
  <si>
    <t xml:space="preserve">101 &lt; Cap MW ≤ 130 </t>
  </si>
  <si>
    <t xml:space="preserve">131 &lt; Cap MW ≤ 50 </t>
  </si>
  <si>
    <t xml:space="preserve">151 &lt; Cap MW ≤ 170 </t>
  </si>
  <si>
    <t xml:space="preserve">171 &lt; Cap MW ≤ 200 </t>
  </si>
  <si>
    <t>Estudio de rápido Ampere</t>
  </si>
  <si>
    <t>validación de modelos en PSSE</t>
  </si>
  <si>
    <t>validación de modelos en EMTP</t>
  </si>
  <si>
    <t>PRIMERA ENERGIZACIÓN</t>
  </si>
  <si>
    <t>Pruebas de comportamiento de la CE (ASINCRONAS)</t>
  </si>
  <si>
    <t>CODIGO DE RED DE LA CE (ASÍNCRONAS)</t>
  </si>
  <si>
    <t>Permiso de Generación</t>
  </si>
  <si>
    <t xml:space="preserve">201 &lt; Cap MW ≤ 230 </t>
  </si>
  <si>
    <t xml:space="preserve">201 &lt; Cap MW ≤ 250 </t>
  </si>
  <si>
    <t>251 &lt; Cap MW ≤ 300</t>
  </si>
  <si>
    <t>301 &lt; Cap MW ≤ 350</t>
  </si>
  <si>
    <t xml:space="preserve">351 &lt; Cap MW ≤ 400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</si>
</sst>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scheme val="minor"/>
    </font>
    <font>
      <b/>
      <sz val="48"/>
      <color theme="1"/>
      <name val="Aptos Narrow"/>
      <scheme val="minor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9" fontId="0" fillId="0" borderId="0" xfId="2" applyFont="1"/>
    <xf numFmtId="44" fontId="0" fillId="0" borderId="0" xfId="1" applyFont="1"/>
    <xf numFmtId="6" fontId="0" fillId="0" borderId="0" xfId="0" applyNumberFormat="1"/>
    <xf numFmtId="164" fontId="0" fillId="0" borderId="0" xfId="2" applyNumberFormat="1" applyFont="1"/>
    <xf numFmtId="0" fontId="3" fillId="3" borderId="1" xfId="0" applyFont="1" applyFill="1" applyBorder="1"/>
    <xf numFmtId="0" fontId="4" fillId="4" borderId="2" xfId="0" applyFont="1" applyFill="1" applyBorder="1"/>
    <xf numFmtId="44" fontId="4" fillId="4" borderId="3" xfId="1" applyFont="1" applyFill="1" applyBorder="1"/>
    <xf numFmtId="9" fontId="4" fillId="4" borderId="4" xfId="2" applyFont="1" applyFill="1" applyBorder="1"/>
    <xf numFmtId="0" fontId="0" fillId="5" borderId="2" xfId="0" applyFill="1" applyBorder="1"/>
    <xf numFmtId="44" fontId="0" fillId="5" borderId="3" xfId="1" applyFont="1" applyFill="1" applyBorder="1"/>
    <xf numFmtId="9" fontId="0" fillId="5" borderId="4" xfId="2" applyFont="1" applyFill="1" applyBorder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4" fontId="0" fillId="0" borderId="0" xfId="0" applyNumberFormat="1"/>
    <xf numFmtId="0" fontId="0" fillId="5" borderId="7" xfId="0" applyFill="1" applyBorder="1"/>
    <xf numFmtId="0" fontId="0" fillId="0" borderId="7" xfId="0" applyBorder="1"/>
    <xf numFmtId="44" fontId="0" fillId="0" borderId="6" xfId="1" applyFont="1" applyBorder="1"/>
    <xf numFmtId="44" fontId="0" fillId="0" borderId="5" xfId="1" applyFont="1" applyBorder="1"/>
    <xf numFmtId="44" fontId="0" fillId="5" borderId="6" xfId="1" applyFont="1" applyFill="1" applyBorder="1"/>
    <xf numFmtId="44" fontId="0" fillId="5" borderId="5" xfId="1" applyFont="1" applyFill="1" applyBorder="1"/>
    <xf numFmtId="9" fontId="0" fillId="0" borderId="5" xfId="2" applyFont="1" applyBorder="1"/>
    <xf numFmtId="9" fontId="0" fillId="5" borderId="5" xfId="2" applyFont="1" applyFill="1" applyBorder="1"/>
    <xf numFmtId="0" fontId="0" fillId="0" borderId="7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44" fontId="0" fillId="0" borderId="0" xfId="0" applyNumberFormat="1"/>
    <xf numFmtId="0" fontId="0" fillId="5" borderId="6" xfId="0" applyFill="1" applyBorder="1"/>
    <xf numFmtId="0" fontId="3" fillId="3" borderId="8" xfId="0" applyFont="1" applyFill="1" applyBorder="1"/>
    <xf numFmtId="9" fontId="4" fillId="4" borderId="3" xfId="2" applyFont="1" applyFill="1" applyBorder="1"/>
    <xf numFmtId="0" fontId="0" fillId="5" borderId="9" xfId="0" applyFill="1" applyBorder="1"/>
    <xf numFmtId="9" fontId="0" fillId="5" borderId="3" xfId="2" applyFont="1" applyFill="1" applyBorder="1"/>
    <xf numFmtId="0" fontId="0" fillId="0" borderId="2" xfId="0" applyBorder="1"/>
    <xf numFmtId="44" fontId="0" fillId="0" borderId="3" xfId="1" applyFont="1" applyBorder="1"/>
    <xf numFmtId="9" fontId="0" fillId="0" borderId="3" xfId="2" applyFont="1" applyBorder="1"/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/>
    <xf numFmtId="0" fontId="0" fillId="5" borderId="3" xfId="0" applyFill="1" applyBorder="1"/>
    <xf numFmtId="0" fontId="7" fillId="0" borderId="0" xfId="0" applyFont="1"/>
    <xf numFmtId="10" fontId="6" fillId="0" borderId="0" xfId="2" applyNumberFormat="1" applyFont="1" applyAlignment="1"/>
    <xf numFmtId="10" fontId="0" fillId="0" borderId="0" xfId="2" applyNumberFormat="1" applyFont="1"/>
    <xf numFmtId="44" fontId="0" fillId="0" borderId="0" xfId="2" applyNumberFormat="1" applyFont="1"/>
    <xf numFmtId="8" fontId="0" fillId="0" borderId="0" xfId="0" applyNumberFormat="1"/>
    <xf numFmtId="8" fontId="8" fillId="0" borderId="10" xfId="0" applyNumberFormat="1" applyFont="1" applyBorder="1" applyAlignment="1">
      <alignment horizontal="center" vertical="center"/>
    </xf>
    <xf numFmtId="8" fontId="8" fillId="0" borderId="1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0" fontId="6" fillId="0" borderId="0" xfId="2" applyNumberFormat="1" applyFont="1" applyAlignment="1">
      <alignment horizontal="center"/>
    </xf>
    <xf numFmtId="0" fontId="0" fillId="0" borderId="0" xfId="0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D9DBCF-6FF0-EE4A-8273-6EED69D820D6}" name="Tabla315" displayName="Tabla315" ref="B6:D115" totalsRowShown="0">
  <autoFilter ref="B6:D115" xr:uid="{6D151544-9E87-F24D-9BEB-9316FEEE4E4D}"/>
  <tableColumns count="3">
    <tableColumn id="1" xr3:uid="{60B435FB-1787-FF4A-B531-846510A656A9}" name="Capacidad"/>
    <tableColumn id="2" xr3:uid="{7E3B4FEF-DED4-1D4D-B7B2-E7D21FD5F2D2}" name="Precio" dataDxfId="81" dataCellStyle="Moneda">
      <calculatedColumnFormula>(C6*D7)+C6</calculatedColumnFormula>
    </tableColumn>
    <tableColumn id="3" xr3:uid="{48E55A39-463D-1647-9BD6-1A3ECDF4CDC8}" name="Incremento" dataDxfId="80" dataCellStyle="Porcentaj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1749ED0-8B0A-0E4D-8ADC-B797C121BC68}" name="Tabla3718" displayName="Tabla3718" ref="F6:H115" totalsRowShown="0">
  <autoFilter ref="F6:H115" xr:uid="{F341D6D9-88CA-D14A-B7A7-9F71BA3C52EC}"/>
  <tableColumns count="3">
    <tableColumn id="1" xr3:uid="{BBC54286-033E-1D48-AAEB-E59B760354AB}" name="Capacidad"/>
    <tableColumn id="2" xr3:uid="{E943F44F-8903-BD4A-8AD1-7E4314ED98ED}" name="Precio" dataDxfId="79" dataCellStyle="Moneda"/>
    <tableColumn id="3" xr3:uid="{8E00473B-CECB-024C-BC5B-5299ED2EADA4}" name="Incremento" dataDxfId="78" dataCellStyle="Moneda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D2C05C-4CE5-BB47-AA7A-9D1D48CBED8C}" name="Tabla37819" displayName="Tabla37819" ref="J6:L115" totalsRowShown="0">
  <autoFilter ref="J6:L115" xr:uid="{8A321709-F587-064A-AF3A-ABB8D5E13C06}"/>
  <tableColumns count="3">
    <tableColumn id="1" xr3:uid="{9E156FAB-0FD6-1A41-8973-AFE459BEFA3A}" name="Capacidad"/>
    <tableColumn id="2" xr3:uid="{C89EE1E7-E755-1345-9F20-5BBEBEB29A35}" name="Precio" dataDxfId="77" dataCellStyle="Moneda"/>
    <tableColumn id="3" xr3:uid="{886D330C-330E-AC45-A4C6-6688A96FB48B}" name="Incremento" dataDxfId="76" dataCellStyle="Moneda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DF05E2B3-8631-C342-8431-36A464E2EB94}" name="Tabla378932" displayName="Tabla378932" ref="N6:P115" totalsRowShown="0">
  <autoFilter ref="N6:P115" xr:uid="{1F8CE0C9-2F00-254A-BA57-EA306CD775B7}"/>
  <tableColumns count="3">
    <tableColumn id="1" xr3:uid="{BA3D9660-6D2A-C947-8EAF-B5244A35205C}" name="Capacidad"/>
    <tableColumn id="2" xr3:uid="{9FFDA0F2-4C9E-A14B-8903-7C4DB6E8602F}" name="Precio" dataDxfId="75" dataCellStyle="Moneda"/>
    <tableColumn id="3" xr3:uid="{48492B12-31FF-EC42-9B34-5A81A51ED40E}" name="Incremento" dataDxfId="74" dataCellStyle="Moneda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393969B-CC94-524D-AC44-6BF0B2050D14}" name="Tabla3789101134" displayName="Tabla3789101134" ref="V6:X115" totalsRowShown="0">
  <autoFilter ref="V6:X115" xr:uid="{375BF73F-1F2F-554A-AD55-2600CDC65C34}"/>
  <tableColumns count="3">
    <tableColumn id="1" xr3:uid="{9F2E1270-4BD5-BF4F-8EDA-F3ADA262D8B3}" name="Capacidad"/>
    <tableColumn id="2" xr3:uid="{E4C1D4FE-DC1A-E644-B6A9-BAADC2B4A230}" name="Precio" dataDxfId="73" dataCellStyle="Moneda">
      <calculatedColumnFormula>(W6*X7)+W6</calculatedColumnFormula>
    </tableColumn>
    <tableColumn id="3" xr3:uid="{F7B69911-20A2-C244-B567-F2C7DBD44E89}" name="Incremento" dataDxfId="72" dataCellStyle="Porcentaje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96291A0-C731-694B-8FFE-2BF33BD88825}" name="Tabla378910111235" displayName="Tabla378910111235" ref="Z6:AB115" totalsRowShown="0">
  <autoFilter ref="Z6:AB115" xr:uid="{F7156953-F87C-814C-8C7A-571FA3EB6A48}"/>
  <tableColumns count="3">
    <tableColumn id="1" xr3:uid="{0B9A6B00-0EF5-C843-952D-5A7C9CB09B78}" name="Capacidad"/>
    <tableColumn id="2" xr3:uid="{15379D44-D5B9-6147-A1B6-075D3113C081}" name="Precio" dataDxfId="71" dataCellStyle="Moneda"/>
    <tableColumn id="3" xr3:uid="{A7D181DA-4F21-204F-9D11-A57F5FCC30D5}" name="Incremento" dataDxfId="70" dataCellStyle="Porcentaj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0294AEB-B23C-424A-9A5E-B497AACD40E1}" name="Tabla37891011121336" displayName="Tabla37891011121336" ref="AD6:AF115" totalsRowShown="0">
  <autoFilter ref="AD6:AF115" xr:uid="{4E8B82B3-E03D-C346-A8C8-0F57FD2D20B7}"/>
  <tableColumns count="3">
    <tableColumn id="1" xr3:uid="{ECF7F5D9-C20A-CA46-BEEC-4DB44F005722}" name="Capacidad"/>
    <tableColumn id="2" xr3:uid="{0BDDF5AD-C405-4545-8B66-481217060833}" name="Precio" dataDxfId="69" dataCellStyle="Moneda"/>
    <tableColumn id="3" xr3:uid="{E9ABB8D0-0539-1742-914C-85CF01FBC4B6}" name="Incremento" dataDxfId="68" dataCellStyle="Moneda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5CAB040-E253-5C48-89EC-68555FC9A357}" name="Tabla32037" displayName="Tabla32037" ref="F4:H213" totalsRowShown="0">
  <autoFilter ref="F4:H213" xr:uid="{973DC8D2-D7F7-1646-A600-196AD952FCF7}"/>
  <tableColumns count="3">
    <tableColumn id="1" xr3:uid="{B0D5D919-D655-4B4C-A27E-C72FB030F6CC}" name="Capacidad MW" dataDxfId="67"/>
    <tableColumn id="2" xr3:uid="{FE981806-F486-944D-8104-1BFC77715FE4}" name="Precio" dataDxfId="66" dataCellStyle="Moneda">
      <calculatedColumnFormula>(G4*H5)+G4</calculatedColumnFormula>
    </tableColumn>
    <tableColumn id="3" xr3:uid="{8C6439AB-DC26-984E-A216-99F850973812}" name="Incremento" dataDxfId="65" dataCellStyle="Porcentaje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95C6010-8CA9-3647-84D6-A562F586B901}" name="Tabla372138" displayName="Tabla372138" ref="N4:P213" totalsRowShown="0">
  <autoFilter ref="N4:P213" xr:uid="{D1701C17-3FD5-5B4A-BD28-C4063FE78F5E}"/>
  <tableColumns count="3">
    <tableColumn id="1" xr3:uid="{D5407D9D-8FEA-2144-ACE3-55AFDB8E2C9D}" name="Capacidad MW"/>
    <tableColumn id="2" xr3:uid="{05E59125-1434-D54A-A22F-D0EF341EA954}" name="Precio" dataDxfId="64" dataCellStyle="Moneda">
      <calculatedColumnFormula>(O4*P5)+O4</calculatedColumnFormula>
    </tableColumn>
    <tableColumn id="3" xr3:uid="{ED2D208C-6D34-A94C-9AAF-1FDEF47D586D}" name="Incremento" dataDxfId="63" dataCellStyle="Porcentaje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F9B3158-9893-084F-933B-A0BC0765EE9C}" name="Tabla3789102441" displayName="Tabla3789102441" ref="AH4:AJ217" totalsRowShown="0">
  <autoFilter ref="AH4:AJ217" xr:uid="{AE2BC827-2FC5-2143-B001-A78C9DDC38F7}"/>
  <tableColumns count="3">
    <tableColumn id="1" xr3:uid="{90265377-8006-664D-A79A-CCD3F9523B12}" name="Capacidad MW" dataDxfId="62"/>
    <tableColumn id="2" xr3:uid="{5874DBBC-6A86-1C49-8B86-3E3FC83563A0}" name="Precio" dataDxfId="61" dataCellStyle="Moneda"/>
    <tableColumn id="3" xr3:uid="{46D06E43-1421-C24D-97F6-D32DE893D3D0}" name="Columna1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A15BD70D-7DB4-6A47-BFEE-7426153C0FE0}" name="Tabla37891011122643" displayName="Tabla37891011122643" ref="AQ4:AS217" totalsRowShown="0">
  <autoFilter ref="AQ4:AS217" xr:uid="{331EA588-2207-F74C-937A-134FC3C77C9A}"/>
  <tableColumns count="3">
    <tableColumn id="1" xr3:uid="{043C0D1C-98C5-F647-8603-9879C3456956}" name="Capacidad MW"/>
    <tableColumn id="2" xr3:uid="{544E4A8D-DBB3-E44C-8470-26D6A5286630}" name="Precio" dataDxfId="60" dataCellStyle="Moneda"/>
    <tableColumn id="3" xr3:uid="{08166D71-8FB7-8248-85D3-1C878DE512EB}" name="Incremento" dataDxfId="59" dataCellStyle="Porcentaje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3A608DF-3900-1544-89D0-E29070F97E0C}" name="Tabla3789101112132744" displayName="Tabla3789101112132744" ref="AU4:AW217" totalsRowShown="0">
  <autoFilter ref="AU4:AW217" xr:uid="{7F607D2E-7282-D740-8B9B-85103816FE9D}"/>
  <tableColumns count="3">
    <tableColumn id="1" xr3:uid="{F5479DEB-E91A-C24B-82A1-7A04A0BE7155}" name="Capacidad MW"/>
    <tableColumn id="2" xr3:uid="{8DF535D2-1B22-5944-8001-6413C8DBB92E}" name="Precio" dataDxfId="58" dataCellStyle="Moneda">
      <calculatedColumnFormula>(AV4*AW5)+AV4</calculatedColumnFormula>
    </tableColumn>
    <tableColumn id="3" xr3:uid="{F9287BAA-FA76-8648-AF5A-3E9C8DDD1911}" name="Incremento" dataDxfId="57" dataCellStyle="Porcentaje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B02E5A89-C080-D44F-9F05-3A6A7F07B5F7}" name="Tabla378910111213272946" displayName="Tabla378910111213272946" ref="BC4:BE217" totalsRowShown="0">
  <autoFilter ref="BC4:BE217" xr:uid="{3D3EEFDD-9C67-504C-AFB6-9748EDD7579B}"/>
  <tableColumns count="3">
    <tableColumn id="1" xr3:uid="{F24D786D-B50B-2A4B-BE61-0E72FF072A05}" name="Capacidad MW"/>
    <tableColumn id="2" xr3:uid="{827A2FE1-6280-544E-91D4-69770F1D14B0}" name="Precio" dataDxfId="56" dataCellStyle="Moneda"/>
    <tableColumn id="3" xr3:uid="{76B98CDD-A9AC-FE40-A72E-E21AC0C7B3B0}" name="Incremento" dataDxfId="55" dataCellStyle="Moneda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3EB77588-B340-694E-96E8-3C6BD8BEA634}" name="Tabla320350" displayName="Tabla320350" ref="J4:L213" totalsRowShown="0">
  <autoFilter ref="J4:L213" xr:uid="{1AA95C12-DBF5-6D47-A0E6-90B6EE0E3716}"/>
  <tableColumns count="3">
    <tableColumn id="1" xr3:uid="{04BD1506-08DB-D64C-BE17-B4B759F65556}" name="Capacidad MW" dataDxfId="54"/>
    <tableColumn id="2" xr3:uid="{0E82229B-B598-8746-9CE5-8819739086AD}" name="Precio" dataDxfId="53" dataCellStyle="Moneda"/>
    <tableColumn id="3" xr3:uid="{9A5576A8-70B3-D14B-81EF-89336A80B952}" name="Incremento" dataDxfId="52" dataCellStyle="Moneda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8875DA55-DA03-3C49-BB8A-09913502CE3F}" name="Tabla37213852" displayName="Tabla37213852" ref="R4:T217" totalsRowShown="0">
  <autoFilter ref="R4:T217" xr:uid="{8875DA55-DA03-3C49-BB8A-09913502CE3F}"/>
  <tableColumns count="3">
    <tableColumn id="1" xr3:uid="{A2E952ED-1B46-B84B-8049-7188C50ACD57}" name="Capacidad MW"/>
    <tableColumn id="2" xr3:uid="{B2DF1CF0-B0E3-624A-8538-B29952E27E4C}" name="Precio" dataDxfId="51" dataCellStyle="Moneda">
      <calculatedColumnFormula>(S4*T5)+S4</calculatedColumnFormula>
    </tableColumn>
    <tableColumn id="3" xr3:uid="{0D9D8877-272F-0641-B3AB-C9526B2B6852}" name="Incremento" dataDxfId="50" dataCellStyle="Porcentaje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1B326E47-CD0F-0B40-8B92-DF071708DB33}" name="Tabla37213853" displayName="Tabla37213853" ref="V4:X217" totalsRowShown="0">
  <autoFilter ref="V4:X217" xr:uid="{1B326E47-CD0F-0B40-8B92-DF071708DB33}"/>
  <tableColumns count="3">
    <tableColumn id="1" xr3:uid="{E4A8BDC2-28F4-ED4B-921C-A93E306216C0}" name="Capacidad MW"/>
    <tableColumn id="2" xr3:uid="{4884B488-EDE6-F94A-8256-F84799E34CAC}" name="Precio" dataDxfId="49" dataCellStyle="Moneda">
      <calculatedColumnFormula>(W4*X5)+W4</calculatedColumnFormula>
    </tableColumn>
    <tableColumn id="3" xr3:uid="{7E15BB8E-87C9-AC43-86EC-A151212AC69B}" name="Incremento" dataDxfId="48" dataCellStyle="Porcentaje"/>
  </tableColumns>
  <tableStyleInfo name="TableStyleMedium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F184AFE-3B28-FE44-BD38-41CFD773C048}" name="Tabla3202845" displayName="Tabla3202845" ref="B4:D9" totalsRowShown="0">
  <autoFilter ref="B4:D9" xr:uid="{66D4D494-9475-3149-A161-56F3C2E66C39}"/>
  <tableColumns count="3">
    <tableColumn id="1" xr3:uid="{BB120580-9137-AA48-819D-9BB732A453B8}" name="Capacidad MW"/>
    <tableColumn id="2" xr3:uid="{4B11AFDD-AA98-7444-8DE1-8BF9061F45B5}" name="Precio" dataDxfId="47" dataCellStyle="Moneda">
      <calculatedColumnFormula>(C4*D5)+C4</calculatedColumnFormula>
    </tableColumn>
    <tableColumn id="3" xr3:uid="{EE8DEC46-8496-F74D-8966-EFF798AB2CA5}" name="Incremento" dataDxfId="46" dataCellStyle="Porcentaje"/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08A494-4E2D-6A4F-A090-CE2BC6E37C60}" name="Tabla372138532" displayName="Tabla372138532" ref="Z4:AB217" totalsRowShown="0">
  <autoFilter ref="Z4:AB217" xr:uid="{3408A494-4E2D-6A4F-A090-CE2BC6E37C60}"/>
  <tableColumns count="3">
    <tableColumn id="1" xr3:uid="{2AF5C968-6804-D644-8F15-B05AC2776F8E}" name="Capacidad MW"/>
    <tableColumn id="2" xr3:uid="{CE733888-C0A4-7940-9EBE-9FBC0D88B825}" name="Precio" dataDxfId="45" dataCellStyle="Moneda">
      <calculatedColumnFormula>(AA4*AB5)+AA4</calculatedColumnFormula>
    </tableColumn>
    <tableColumn id="3" xr3:uid="{823C1CE3-C139-B848-87BA-C8D8B28944D6}" name="Incremento" dataDxfId="44" dataCellStyle="Porcentaje"/>
  </tableColumns>
  <tableStyleInfo name="TableStyleMedium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D494DA-2ED1-C046-B6A9-3D943501BF5D}" name="Tabla3721385323" displayName="Tabla3721385323" ref="AD4:AF217" totalsRowShown="0">
  <autoFilter ref="AD4:AF217" xr:uid="{F0D494DA-2ED1-C046-B6A9-3D943501BF5D}"/>
  <tableColumns count="3">
    <tableColumn id="1" xr3:uid="{ED32C23C-CD57-BD4D-81C3-06A73C1CE87E}" name="Capacidad MW"/>
    <tableColumn id="2" xr3:uid="{EA901C9B-5075-414F-AB47-5534829D36DF}" name="Precio" dataDxfId="43" dataCellStyle="Moneda">
      <calculatedColumnFormula>(AE4*AF5)+AE4</calculatedColumnFormula>
    </tableColumn>
    <tableColumn id="3" xr3:uid="{CDCB3828-06A0-6E41-AD57-0556A6539A87}" name="Incremento" dataDxfId="42" dataCellStyle="Porcentaje"/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EA993E-8726-704C-9929-39C5B5B3F93A}" name="Tabla37891011121327444" displayName="Tabla37891011121327444" ref="AY4:BA217" totalsRowShown="0">
  <autoFilter ref="AY4:BA217" xr:uid="{FDEA993E-8726-704C-9929-39C5B5B3F93A}"/>
  <tableColumns count="3">
    <tableColumn id="1" xr3:uid="{829CF437-2BEE-E645-95AF-47B45FC92B0B}" name="Capacidad MW"/>
    <tableColumn id="2" xr3:uid="{56604C6B-D3D3-4949-BF79-5BBDEDB0BA56}" name="Precio" dataDxfId="41" dataCellStyle="Moneda">
      <calculatedColumnFormula>(AZ4*BA5)+AZ4</calculatedColumnFormula>
    </tableColumn>
    <tableColumn id="3" xr3:uid="{BA18AC60-4484-064A-A260-DC37E5D83558}" name="Incremento" dataDxfId="40" dataCellStyle="Porcentaje"/>
  </tableColumns>
  <tableStyleInfo name="TableStyleMedium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B87BAD-5DE2-0947-9235-86F5973795CD}" name="Tabla3155" displayName="Tabla3155" ref="F6:H23" totalsRowShown="0">
  <autoFilter ref="F6:H23" xr:uid="{6D151544-9E87-F24D-9BEB-9316FEEE4E4D}"/>
  <tableColumns count="3">
    <tableColumn id="1" xr3:uid="{A91F73CF-595C-6F41-9882-17D3FD0FD9F5}" name="Capacidad"/>
    <tableColumn id="2" xr3:uid="{90DC17A3-67E2-CE44-8D4F-998144736004}" name="Precio" dataDxfId="115" dataCellStyle="Moneda">
      <calculatedColumnFormula>(G6*H7)+G6</calculatedColumnFormula>
    </tableColumn>
    <tableColumn id="3" xr3:uid="{B72F3718-4D50-994A-89A9-1E16D70B014C}" name="Incremento" dataDxfId="114" dataCellStyle="Porcentaje"/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B64564-FAAF-1D4E-AF2F-5A4FC88426EC}" name="Tabla37186" displayName="Tabla37186" ref="J6:L23" totalsRowShown="0">
  <autoFilter ref="J6:L23" xr:uid="{F341D6D9-88CA-D14A-B7A7-9F71BA3C52EC}"/>
  <tableColumns count="3">
    <tableColumn id="1" xr3:uid="{CD72097A-E748-7646-8B2B-0BD14C3AF3E9}" name="Capacidad"/>
    <tableColumn id="2" xr3:uid="{B4F776DC-A099-5F42-B227-B5C7F3EC8352}" name="Precio" dataDxfId="113" dataCellStyle="Moneda"/>
    <tableColumn id="3" xr3:uid="{1AC21C11-8041-B347-AF2D-955B7A2E9660}" name="Incremento" dataDxfId="112" dataCellStyle="Moneda"/>
  </tableColumns>
  <tableStyleInfo name="TableStyleMedium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D8EF3A-E57F-DC4A-97B8-21F5B8E84CE8}" name="Tabla378197" displayName="Tabla378197" ref="N6:P23" totalsRowShown="0">
  <autoFilter ref="N6:P23" xr:uid="{8A321709-F587-064A-AF3A-ABB8D5E13C06}"/>
  <tableColumns count="3">
    <tableColumn id="1" xr3:uid="{82A4A3C1-F73B-B540-B2C2-B56AFFF8D53C}" name="Capacidad"/>
    <tableColumn id="2" xr3:uid="{3A0380DB-2EB7-6140-B2A3-21EFB82C0213}" name="Precio" dataDxfId="111" dataCellStyle="Moneda"/>
    <tableColumn id="3" xr3:uid="{E9404C01-E134-2A45-92D1-8F984C8A39DE}" name="Incremento" dataDxfId="110" dataCellStyle="Moneda"/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6686E9-9AEA-D947-8CAB-20CF45C73050}" name="Tabla3789328" displayName="Tabla3789328" ref="R6:T23" totalsRowShown="0">
  <autoFilter ref="R6:T23" xr:uid="{1F8CE0C9-2F00-254A-BA57-EA306CD775B7}"/>
  <tableColumns count="3">
    <tableColumn id="1" xr3:uid="{0E66F63B-895A-E445-9658-FAD2A9E553A7}" name="Capacidad"/>
    <tableColumn id="2" xr3:uid="{90EF7BDF-B646-6641-B4FE-FFC476A93298}" name="Precio" dataDxfId="109" dataCellStyle="Moneda"/>
    <tableColumn id="3" xr3:uid="{B6365F2E-638B-934B-8FD5-0788FF7CAE3A}" name="Incremento" dataDxfId="108" dataCellStyle="Moneda"/>
  </tableColumns>
  <tableStyleInfo name="TableStyleMedium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CFFB03-D4AF-1D41-90AF-321C11ACF981}" name="Tabla37891011349" displayName="Tabla37891011349" ref="J27:L44" totalsRowShown="0">
  <autoFilter ref="J27:L44" xr:uid="{375BF73F-1F2F-554A-AD55-2600CDC65C34}"/>
  <tableColumns count="3">
    <tableColumn id="1" xr3:uid="{4EC45BB6-F48D-8545-AF84-DF762FA08729}" name="Capacidad"/>
    <tableColumn id="2" xr3:uid="{6C602B3E-BB6D-F142-9F4D-6197A0EBA0EE}" name="Precio" dataDxfId="107" dataCellStyle="Moneda">
      <calculatedColumnFormula>(K27*L28)+K27</calculatedColumnFormula>
    </tableColumn>
    <tableColumn id="3" xr3:uid="{F6A8F6D4-B7B8-0C49-947F-4308B93C158B}" name="Incremento" dataDxfId="106" dataCellStyle="Porcentaje"/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D874F3E-746D-5B42-BEEF-0162E103CB94}" name="Tabla37891011123510" displayName="Tabla37891011123510" ref="N27:P44" totalsRowShown="0">
  <autoFilter ref="N27:P44" xr:uid="{F7156953-F87C-814C-8C7A-571FA3EB6A48}"/>
  <tableColumns count="3">
    <tableColumn id="1" xr3:uid="{D0C58521-0FF5-1D46-918E-2AA803FBEB7E}" name="Capacidad"/>
    <tableColumn id="2" xr3:uid="{13785196-9E0B-B84F-A0F7-0E4EBB9AA67D}" name="Precio" dataDxfId="105" dataCellStyle="Moneda"/>
    <tableColumn id="3" xr3:uid="{87ECA130-6BE6-F443-8186-BDA2600684D0}" name="Incremento" dataDxfId="104" dataCellStyle="Porcentaje"/>
  </tableColumns>
  <tableStyleInfo name="TableStyleMedium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8150BE-DFEC-FE41-8752-FBC47B83536D}" name="Tabla3789101112133611" displayName="Tabla3789101112133611" ref="R27:T44" totalsRowShown="0">
  <autoFilter ref="R27:T44" xr:uid="{4E8B82B3-E03D-C346-A8C8-0F57FD2D20B7}"/>
  <tableColumns count="3">
    <tableColumn id="1" xr3:uid="{7478DCB5-A303-CA47-839F-B155A5D1D680}" name="Capacidad"/>
    <tableColumn id="2" xr3:uid="{AF91932D-B5A9-A44C-85B6-44DFC890C839}" name="Precio" dataDxfId="103" dataCellStyle="Moneda"/>
    <tableColumn id="3" xr3:uid="{A0C8E1E2-1484-2542-B993-B05E53E4556C}" name="Incremento" dataDxfId="102" dataCellStyle="Moneda"/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7ADE365E-C977-E443-802A-8DBB3787A4F9}" name="Tabla32" displayName="Tabla32" ref="B13:D30" totalsRowShown="0">
  <autoFilter ref="B13:D30" xr:uid="{7ADE365E-C977-E443-802A-8DBB3787A4F9}"/>
  <tableColumns count="3">
    <tableColumn id="1" xr3:uid="{01CE24E8-0B22-C146-A84A-541C991AA0CE}" name="Capacidad" dataDxfId="101"/>
    <tableColumn id="2" xr3:uid="{9365D316-40C0-2546-8B25-BD94F339F774}" name="Precio" dataDxfId="100" dataCellStyle="Moneda">
      <calculatedColumnFormula>(C13*D14)+C13</calculatedColumnFormula>
    </tableColumn>
    <tableColumn id="3" xr3:uid="{AB184B3D-9057-A04D-AF07-2D347D170CB2}" name="Incremento" dataDxfId="99" dataCellStyle="Porcentaje"/>
  </tableColumns>
  <tableStyleInfo name="TableStyleMedium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94913DCC-4E20-E943-A8C0-BAE1A69B19F5}" name="Tabla315578" displayName="Tabla315578" ref="F50:H64" totalsRowShown="0">
  <autoFilter ref="F50:H64" xr:uid="{94913DCC-4E20-E943-A8C0-BAE1A69B19F5}"/>
  <tableColumns count="3">
    <tableColumn id="1" xr3:uid="{BBFF5981-6BD7-DE4F-85AD-3D3A9F79576E}" name="Capacidad"/>
    <tableColumn id="2" xr3:uid="{2A8DA733-645E-4E40-8F76-6704BE3AD59D}" name="Precio" dataDxfId="98" dataCellStyle="Moneda">
      <calculatedColumnFormula>(G50*H51)+G50</calculatedColumnFormula>
    </tableColumn>
    <tableColumn id="3" xr3:uid="{45815E9D-1417-8F4D-8985-D1559BE56D51}" name="Incremento" dataDxfId="97" dataCellStyle="Porcentaje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4F400B0E-31A2-2F41-8D56-3D1FC8857C42}" name="Tabla3718679" displayName="Tabla3718679" ref="J53:L67" totalsRowShown="0">
  <autoFilter ref="J53:L67" xr:uid="{4F400B0E-31A2-2F41-8D56-3D1FC8857C42}"/>
  <tableColumns count="3">
    <tableColumn id="1" xr3:uid="{20A116DB-CB61-C945-B88F-CB284B5EBD0C}" name="Capacidad"/>
    <tableColumn id="2" xr3:uid="{C3BF153C-089E-E549-9E42-2A5A445B9CD0}" name="Precio" dataDxfId="96" dataCellStyle="Moneda"/>
    <tableColumn id="3" xr3:uid="{6CDA6A12-0CDE-564E-9733-B245234AD436}" name="Incremento" dataDxfId="95" dataCellStyle="Moneda"/>
  </tableColumns>
  <tableStyleInfo name="TableStyleMedium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8477D4E-C22A-FB48-8072-0C0C662DF486}" name="Tabla37819780" displayName="Tabla37819780" ref="N53:P67" totalsRowShown="0">
  <autoFilter ref="N53:P67" xr:uid="{08477D4E-C22A-FB48-8072-0C0C662DF486}"/>
  <tableColumns count="3">
    <tableColumn id="1" xr3:uid="{14A213E7-9702-4644-B702-C590490C90D4}" name="Capacidad"/>
    <tableColumn id="2" xr3:uid="{5CA38559-5D68-A743-BF8D-CC838A309508}" name="Precio" dataDxfId="94" dataCellStyle="Moneda"/>
    <tableColumn id="3" xr3:uid="{212BA1FD-65DB-264F-B487-79A37E976C70}" name="Incremento" dataDxfId="93" dataCellStyle="Moneda"/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8858A9AE-E54D-7B43-BA1E-01DE9CEB0500}" name="Tabla378932881" displayName="Tabla378932881" ref="R50:T64" totalsRowShown="0">
  <autoFilter ref="R50:T64" xr:uid="{8858A9AE-E54D-7B43-BA1E-01DE9CEB0500}"/>
  <tableColumns count="3">
    <tableColumn id="1" xr3:uid="{EC0C40F9-23E4-3440-AE0A-ACA38F36F283}" name="Capacidad"/>
    <tableColumn id="2" xr3:uid="{6608E966-9BAD-4048-AF33-70C752BC66AC}" name="Precio" dataDxfId="92" dataCellStyle="Moneda"/>
    <tableColumn id="3" xr3:uid="{A36D74A3-57B7-FA41-99C7-40F96E18D5E8}" name="Incremento" dataDxfId="91" dataCellStyle="Moneda"/>
  </tableColumns>
  <tableStyleInfo name="TableStyleMedium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559370D8-D27A-284A-B425-B8025BF474C6}" name="Tabla3789101134982" displayName="Tabla3789101134982" ref="J70:L84" totalsRowShown="0">
  <autoFilter ref="J70:L84" xr:uid="{559370D8-D27A-284A-B425-B8025BF474C6}"/>
  <tableColumns count="3">
    <tableColumn id="1" xr3:uid="{E7AAD316-4D42-2E42-AE70-1B4119813CC5}" name="Capacidad"/>
    <tableColumn id="2" xr3:uid="{416241B1-00CA-2F4D-9C03-AF1809634E80}" name="Precio" dataDxfId="90" dataCellStyle="Moneda">
      <calculatedColumnFormula>(K70*L71)+K70</calculatedColumnFormula>
    </tableColumn>
    <tableColumn id="3" xr3:uid="{758CA4EC-2D78-1E44-9DFD-F798766540BE}" name="Incremento" dataDxfId="89" dataCellStyle="Porcentaje"/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A19F5BFA-2B54-4F40-8148-077112A21E4F}" name="Tabla3789101112351083" displayName="Tabla3789101112351083" ref="N70:P84" totalsRowShown="0">
  <autoFilter ref="N70:P84" xr:uid="{A19F5BFA-2B54-4F40-8148-077112A21E4F}"/>
  <tableColumns count="3">
    <tableColumn id="1" xr3:uid="{ECD36616-CAAE-8646-B42D-B4F461788859}" name="Capacidad"/>
    <tableColumn id="2" xr3:uid="{3162A9BE-0027-2943-A40C-216E9BD16B72}" name="Precio" dataDxfId="88" dataCellStyle="Moneda"/>
    <tableColumn id="3" xr3:uid="{4243B98B-A83B-6840-BA61-C790D76C06A9}" name="Incremento" dataDxfId="87" dataCellStyle="Porcentaje"/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66E9F227-0699-E544-8D8D-426ECFDB7245}" name="Tabla378910111213361184" displayName="Tabla378910111213361184" ref="R67:T81" totalsRowShown="0">
  <autoFilter ref="R67:T81" xr:uid="{66E9F227-0699-E544-8D8D-426ECFDB7245}"/>
  <tableColumns count="3">
    <tableColumn id="1" xr3:uid="{C8043068-2FA5-0241-9FB2-7795DB867B30}" name="Capacidad"/>
    <tableColumn id="2" xr3:uid="{8535140C-AA72-714E-9B16-8FCA7016DE4C}" name="Precio" dataDxfId="86" dataCellStyle="Moneda"/>
    <tableColumn id="3" xr3:uid="{AF77892F-667A-9040-A831-17ED24067D2C}" name="Incremento" dataDxfId="85" dataCellStyle="Moneda"/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DA2A68DA-0A98-EE4A-9EEA-D56A16EE8925}" name="Tabla3285" displayName="Tabla3285" ref="B57:D71" totalsRowShown="0">
  <autoFilter ref="B57:D71" xr:uid="{DA2A68DA-0A98-EE4A-9EEA-D56A16EE8925}"/>
  <tableColumns count="3">
    <tableColumn id="1" xr3:uid="{8AB2E775-0E3B-3F4B-93E3-F0CE6EF436E6}" name="Capacidad" dataDxfId="84"/>
    <tableColumn id="2" xr3:uid="{B4AD125D-8B90-B445-B515-4FAE45CF3246}" name="Precio" dataDxfId="83" dataCellStyle="Moneda">
      <calculatedColumnFormula>(C57*D58)+C57</calculatedColumnFormula>
    </tableColumn>
    <tableColumn id="3" xr3:uid="{F4BFBBC3-3CC4-574D-8EB9-70448BF1124A}" name="Incremento" dataDxfId="82" dataCellStyle="Porcentaje"/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4B02D53-B353-DE4B-9268-197853D250E6}" name="Tabla3203712" displayName="Tabla3203712" ref="J5:L18" totalsRowShown="0">
  <autoFilter ref="J5:L18" xr:uid="{973DC8D2-D7F7-1646-A600-196AD952FCF7}"/>
  <tableColumns count="3">
    <tableColumn id="1" xr3:uid="{3F649907-165A-4748-A730-5780C9C07762}" name="Capacidad MW" dataDxfId="39"/>
    <tableColumn id="2" xr3:uid="{D7D62730-9841-C04E-B661-AFA51278A03D}" name="Precio" dataDxfId="38" dataCellStyle="Moneda">
      <calculatedColumnFormula>(K5*L6)+K5</calculatedColumnFormula>
    </tableColumn>
    <tableColumn id="3" xr3:uid="{757B69E1-5CEB-454F-92D5-9710F48B0E3C}" name="Incremento" dataDxfId="37" dataCellStyle="Porcentaje"/>
  </tableColumns>
  <tableStyleInfo name="TableStyleMedium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57A5246-0B3A-5D4E-A4DF-60B3087470F6}" name="Tabla37213813" displayName="Tabla37213813" ref="R5:T19" totalsRowShown="0">
  <autoFilter ref="R5:T19" xr:uid="{D1701C17-3FD5-5B4A-BD28-C4063FE78F5E}"/>
  <tableColumns count="3">
    <tableColumn id="1" xr3:uid="{7353603C-C6A5-8D47-8A52-48D049F5D2DA}" name="Capacidad MW"/>
    <tableColumn id="2" xr3:uid="{C6428AE4-E932-134E-9E83-B929EE027272}" name="Precio" dataDxfId="36" dataCellStyle="Moneda">
      <calculatedColumnFormula>(S5*T6)+S5</calculatedColumnFormula>
    </tableColumn>
    <tableColumn id="3" xr3:uid="{0E7B1ACC-A370-2945-8D44-FE395E11D0FD}" name="Incremento" dataDxfId="35" dataCellStyle="Porcentaje"/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83C26BB-FC54-874C-B8E7-1536D77BDC57}" name="Tabla378910244114" displayName="Tabla378910244114" ref="F22:G36" totalsRowShown="0">
  <autoFilter ref="F22:G36" xr:uid="{AE2BC827-2FC5-2143-B001-A78C9DDC38F7}"/>
  <tableColumns count="2">
    <tableColumn id="1" xr3:uid="{61F80461-E4CA-9C42-9388-278A4C8B50A3}" name="Capacidad MW" dataDxfId="34"/>
    <tableColumn id="2" xr3:uid="{1C492618-F229-8745-8F97-2453EDA0EDEF}" name="Precio" dataDxfId="33" dataCellStyle="Moneda"/>
  </tableColumns>
  <tableStyleInfo name="TableStyleMedium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58FE574-F698-734A-AAD5-2EDE398DAA4A}" name="Tabla37891011254216" displayName="Tabla37891011254216" ref="J22:L36" totalsRowShown="0">
  <autoFilter ref="J22:L36" xr:uid="{53A1F5A1-AF4F-EA41-8EA0-10B28BB04230}"/>
  <tableColumns count="3">
    <tableColumn id="1" xr3:uid="{2E9F7D59-BDFE-8944-B518-B339629B2DC5}" name="Capacidad MW"/>
    <tableColumn id="2" xr3:uid="{C52415BA-1B43-9446-B383-BF7EC99C5961}" name="Precio" dataDxfId="32" dataCellStyle="Moneda">
      <calculatedColumnFormula>(K22*L23)+K22</calculatedColumnFormula>
    </tableColumn>
    <tableColumn id="3" xr3:uid="{FF9E1D7A-BBFC-DC42-84A9-75766241A0CC}" name="Incremento" dataDxfId="31" dataCellStyle="Porcentaje"/>
  </tableColumns>
  <tableStyleInfo name="TableStyleMedium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424B460-1F6F-6B4D-BD4B-C77EF5316B5B}" name="Tabla3789101112264317" displayName="Tabla3789101112264317" ref="N22:P36" totalsRowShown="0">
  <autoFilter ref="N22:P36" xr:uid="{331EA588-2207-F74C-937A-134FC3C77C9A}"/>
  <tableColumns count="3">
    <tableColumn id="1" xr3:uid="{452738B1-0DAB-B94B-8054-26ECF9B3D507}" name="Capacidad MW"/>
    <tableColumn id="2" xr3:uid="{6318152C-17FC-7449-964A-7ED4FA04CA8A}" name="Precio" dataDxfId="30" dataCellStyle="Moneda"/>
    <tableColumn id="3" xr3:uid="{D405B67D-6F19-614E-A967-536BC7D63BE5}" name="Incremento" dataDxfId="29" dataCellStyle="Porcentaje"/>
  </tableColumns>
  <tableStyleInfo name="TableStyleMedium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D8888CB-DAD6-4F44-B4DE-101D25213097}" name="Tabla378910111213274420" displayName="Tabla378910111213274420" ref="R22:T36" totalsRowShown="0">
  <autoFilter ref="R22:T36" xr:uid="{7F607D2E-7282-D740-8B9B-85103816FE9D}"/>
  <tableColumns count="3">
    <tableColumn id="1" xr3:uid="{A508F0DE-C42F-9E49-89D1-AB6A7F533467}" name="Capacidad MW"/>
    <tableColumn id="2" xr3:uid="{74887F84-A622-9B4F-8BFF-00EDFD7F2A76}" name="Precio" dataDxfId="28" dataCellStyle="Moneda">
      <calculatedColumnFormula>(S22*T23)+S22</calculatedColumnFormula>
    </tableColumn>
    <tableColumn id="3" xr3:uid="{D731C145-F6FC-7447-B8EE-DDD55284B153}" name="Incremento" dataDxfId="27" dataCellStyle="Porcentaje"/>
  </tableColumns>
  <tableStyleInfo name="TableStyleMedium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815DD2B-AA3C-1F4C-A0EB-0169A4E43248}" name="Tabla37891011121327294621" displayName="Tabla37891011121327294621" ref="AH22:AJ36" totalsRowShown="0">
  <autoFilter ref="AH22:AJ36" xr:uid="{3D3EEFDD-9C67-504C-AFB6-9748EDD7579B}"/>
  <tableColumns count="3">
    <tableColumn id="1" xr3:uid="{3728D1AA-38A4-2249-ACFC-1BB2048FD61E}" name="Capacidad MW"/>
    <tableColumn id="2" xr3:uid="{18486D59-7B0C-AC48-B547-8EC68C35EA98}" name="Precio" dataDxfId="26" dataCellStyle="Moneda"/>
    <tableColumn id="3" xr3:uid="{BC60DD25-8DB3-EE4E-B7D9-EA11BE3A02D5}" name="Incremento" dataDxfId="25" dataCellStyle="Moneda"/>
  </tableColumns>
  <tableStyleInfo name="TableStyleMedium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AEE2F87-6D47-7D4C-94A7-B3BE64257522}" name="Tabla32035022" displayName="Tabla32035022" ref="N5:P18" totalsRowShown="0">
  <autoFilter ref="N5:P18" xr:uid="{1AA95C12-DBF5-6D47-A0E6-90B6EE0E3716}"/>
  <tableColumns count="3">
    <tableColumn id="1" xr3:uid="{E44E9846-A0C2-074E-ADE6-E3B6FB7140FB}" name="Capacidad MW" dataDxfId="24"/>
    <tableColumn id="2" xr3:uid="{05035D7D-4776-FB4C-A978-D9E02FF22D4B}" name="Precio" dataDxfId="23" dataCellStyle="Moneda"/>
    <tableColumn id="3" xr3:uid="{E26A8F40-E6C7-5348-8E2A-B67CF98F013E}" name="Incremento" dataDxfId="22" dataCellStyle="Moneda"/>
  </tableColumns>
  <tableStyleInfo name="TableStyleMedium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4E1757C-DE3B-1740-968D-A5DBF22DE57F}" name="Tabla3721385223" displayName="Tabla3721385223" ref="V5:X19" totalsRowShown="0">
  <autoFilter ref="V5:X19" xr:uid="{8875DA55-DA03-3C49-BB8A-09913502CE3F}"/>
  <tableColumns count="3">
    <tableColumn id="1" xr3:uid="{24ED301F-0C41-6B45-974A-ABD328E58513}" name="Capacidad MW"/>
    <tableColumn id="2" xr3:uid="{0116B10B-D7CC-9544-B23F-AA1D6671F3C4}" name="Precio" dataDxfId="21" dataCellStyle="Moneda">
      <calculatedColumnFormula>(W5*X6)+W5</calculatedColumnFormula>
    </tableColumn>
    <tableColumn id="3" xr3:uid="{9CC7C193-B2B8-8F47-8D4A-4487C5048A31}" name="Incremento" dataDxfId="20" dataCellStyle="Porcentaje"/>
  </tableColumns>
  <tableStyleInfo name="TableStyleMedium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3019D01-E86C-DA4B-AF82-85C1B8374EA3}" name="Tabla3721385324" displayName="Tabla3721385324" ref="Z5:AB19" totalsRowShown="0">
  <autoFilter ref="Z5:AB19" xr:uid="{1B326E47-CD0F-0B40-8B92-DF071708DB33}"/>
  <tableColumns count="3">
    <tableColumn id="1" xr3:uid="{F2E32A46-3578-8F4B-97F1-1B8ADEB9CB3F}" name="Capacidad MW"/>
    <tableColumn id="2" xr3:uid="{86800380-7257-9E4E-A3BB-02D75591194C}" name="Precio" dataDxfId="19" dataCellStyle="Moneda">
      <calculatedColumnFormula>(AA5*AB6)+AA5</calculatedColumnFormula>
    </tableColumn>
    <tableColumn id="3" xr3:uid="{77D651F2-50E1-1A46-B7BF-CADE530642EB}" name="Incremento" dataDxfId="18" dataCellStyle="Porcentaje"/>
  </tableColumns>
  <tableStyleInfo name="TableStyleMedium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46332AC-B398-C146-8B5A-EC2AF9F80FE7}" name="Tabla320284525" displayName="Tabla320284525" ref="F5:H10" totalsRowShown="0">
  <autoFilter ref="F5:H10" xr:uid="{66D4D494-9475-3149-A161-56F3C2E66C39}"/>
  <tableColumns count="3">
    <tableColumn id="1" xr3:uid="{A95CC9C3-6F24-9045-B36E-D7B94D48C04A}" name="Capacidad MW"/>
    <tableColumn id="2" xr3:uid="{BDA0A3CF-52D5-ED47-8B13-D18472B95449}" name="Precio" dataDxfId="17" dataCellStyle="Moneda">
      <calculatedColumnFormula>(G5*H6)+150000</calculatedColumnFormula>
    </tableColumn>
    <tableColumn id="3" xr3:uid="{5B3962E2-B69D-C645-B485-78FA06A9E77B}" name="Incremento" dataDxfId="16" dataCellStyle="Porcentaje"/>
  </tableColumns>
  <tableStyleInfo name="TableStyleMedium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70A48F8-80F4-A449-AEEF-899F2CFCCC3B}" name="Tabla372138532327" displayName="Tabla372138532327" ref="AH5:AJ19" totalsRowShown="0">
  <autoFilter ref="AH5:AJ19" xr:uid="{F0D494DA-2ED1-C046-B6A9-3D943501BF5D}"/>
  <tableColumns count="3">
    <tableColumn id="1" xr3:uid="{76BA96F5-F885-3F40-98CC-16F23ECE5EDE}" name="Capacidad MW"/>
    <tableColumn id="2" xr3:uid="{CA6CC5B2-97F6-2643-A207-A702BE499535}" name="Precio" dataDxfId="15" dataCellStyle="Moneda">
      <calculatedColumnFormula>(AI5*AJ6)+AI5</calculatedColumnFormula>
    </tableColumn>
    <tableColumn id="3" xr3:uid="{241FB1B1-D0F1-CD40-9EE6-727A37059139}" name="Incremento" dataDxfId="14" dataCellStyle="Porcentaje"/>
  </tableColumns>
  <tableStyleInfo name="TableStyleMedium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61D40AF-89E8-A140-99C1-616980CBEADB}" name="Tabla3789101112132744428" displayName="Tabla3789101112132744428" ref="AD22:AF36" totalsRowShown="0">
  <autoFilter ref="AD22:AF36" xr:uid="{FDEA993E-8726-704C-9929-39C5B5B3F93A}"/>
  <tableColumns count="3">
    <tableColumn id="1" xr3:uid="{FCBA34D5-FD80-814C-8DC3-CB10B57FC690}" name="Capacidad MW"/>
    <tableColumn id="2" xr3:uid="{6BC4E360-C170-9841-AF84-EE131ECACAB9}" name="Precio" dataDxfId="13" dataCellStyle="Moneda">
      <calculatedColumnFormula>(AE22*AF23)+AE22</calculatedColumnFormula>
    </tableColumn>
    <tableColumn id="3" xr3:uid="{FF38D8C0-7A18-E54B-AEFD-BEE09A3FEBA9}" name="Incremento" dataDxfId="12" dataCellStyle="Porcentaje"/>
  </tableColumns>
  <tableStyleInfo name="TableStyleMedium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67142C2-2A7C-6144-A00F-C950894D3DEF}" name="Tabla37891011121327442029" displayName="Tabla37891011121327442029" ref="V22:X36" totalsRowShown="0">
  <autoFilter ref="V22:X36" xr:uid="{267142C2-2A7C-6144-A00F-C950894D3DEF}"/>
  <tableColumns count="3">
    <tableColumn id="1" xr3:uid="{AF4BD93C-557D-FA4C-84EA-8C6D5853A021}" name="Capacidad MW"/>
    <tableColumn id="2" xr3:uid="{8999664A-3D70-4345-B40C-FF626F30C805}" name="Precio" dataDxfId="11" dataCellStyle="Moneda">
      <calculatedColumnFormula>Tabla3789101112264317[[#This Row],[Precio]]*1.5</calculatedColumnFormula>
    </tableColumn>
    <tableColumn id="3" xr3:uid="{FC9B9A00-4DFD-E145-8C2B-487E3E4DFB84}" name="Incremento" dataDxfId="10" dataCellStyle="Porcentaje"/>
  </tableColumns>
  <tableStyleInfo name="TableStyleMedium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6F69A34-5CAD-CA43-90AB-32A653713235}" name="Tabla378910111213274442830" displayName="Tabla378910111213274442830" ref="Z22:AB36" totalsRowShown="0">
  <autoFilter ref="Z22:AB36" xr:uid="{26F69A34-5CAD-CA43-90AB-32A653713235}"/>
  <tableColumns count="3">
    <tableColumn id="1" xr3:uid="{97A03158-10CF-C64D-B86E-DD098CA12E88}" name="Capacidad MW"/>
    <tableColumn id="2" xr3:uid="{E184F264-6AF7-B04A-9BFA-B6BCB90A7455}" name="Precio" dataDxfId="9" dataCellStyle="Moneda">
      <calculatedColumnFormula>(AA22*AB23)+AA22</calculatedColumnFormula>
    </tableColumn>
    <tableColumn id="3" xr3:uid="{02799A82-1867-DA49-8038-463C08BD8E90}" name="Incremento" dataDxfId="8" dataCellStyle="Porcentaje"/>
  </tableColumns>
  <tableStyleInfo name="TableStyleMedium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5745CC2-5B5A-3E47-93C4-FDFCC61EF7AD}" name="Tabla37891011121327444283031" displayName="Tabla37891011121327444283031" ref="AD5:AF19" totalsRowShown="0">
  <autoFilter ref="AD5:AF19" xr:uid="{05745CC2-5B5A-3E47-93C4-FDFCC61EF7AD}"/>
  <tableColumns count="3">
    <tableColumn id="1" xr3:uid="{9929F44A-7FA9-0748-8827-219651865B9C}" name="Capacidad MW"/>
    <tableColumn id="2" xr3:uid="{E69195FB-FC8C-7F40-A307-0435457E5366}" name="Precio" dataDxfId="7" dataCellStyle="Moneda">
      <calculatedColumnFormula>(AE5*AF6)+AE5</calculatedColumnFormula>
    </tableColumn>
    <tableColumn id="3" xr3:uid="{BAFF5A12-EC8F-024E-BAAE-E9CAA985C39E}" name="Incremento" dataDxfId="6" dataCellStyle="Porcentaje"/>
  </tableColumns>
  <tableStyleInfo name="TableStyleMedium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D41F70B-1315-C244-8D45-A9CF942C433A}" name="Tabla32037123940" displayName="Tabla32037123940" ref="B22:D35" totalsRowShown="0">
  <autoFilter ref="B22:D35" xr:uid="{CD41F70B-1315-C244-8D45-A9CF942C433A}"/>
  <tableColumns count="3">
    <tableColumn id="1" xr3:uid="{D4A02503-EC2D-504F-9BF4-9204F706FDB2}" name="Capacidad MW" dataDxfId="5"/>
    <tableColumn id="2" xr3:uid="{D056715D-7F8B-EC41-B97A-C0A0982A0959}" name="Precio" dataDxfId="4" dataCellStyle="Moneda"/>
    <tableColumn id="3" xr3:uid="{D453B9B0-A4AD-D14A-B89F-FA25B1E43D26}" name="Incremento" dataDxfId="3" dataCellStyle="Porcentaje"/>
  </tableColumns>
  <tableStyleInfo name="TableStyleMedium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50B1005-1B81-A149-B3F0-7CA4C5B4158E}" name="Tabla3242" displayName="Tabla3242" ref="B3:D20" totalsRowShown="0">
  <autoFilter ref="B3:D20" xr:uid="{B50B1005-1B81-A149-B3F0-7CA4C5B4158E}"/>
  <tableColumns count="3">
    <tableColumn id="1" xr3:uid="{B26F7096-E520-BC47-81D8-D3958C7ED658}" name="Capacidad" dataDxfId="2"/>
    <tableColumn id="2" xr3:uid="{A11A30E5-6E78-3541-B16F-9B40D18470E6}" name="Precio" dataDxfId="1" dataCellStyle="Moneda">
      <calculatedColumnFormula>(120000*Tabla3242[[#This Row],[Incremento]])+120000</calculatedColumnFormula>
    </tableColumn>
    <tableColumn id="3" xr3:uid="{07AA3443-0868-0741-A2FD-C4D0705D3BCD}" name="Incremento" dataDxfId="0" dataCellStyle="Porcentaj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13" Type="http://schemas.openxmlformats.org/officeDocument/2006/relationships/table" Target="../tables/table20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8.xml"/><Relationship Id="rId13" Type="http://schemas.openxmlformats.org/officeDocument/2006/relationships/table" Target="../tables/table33.xml"/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12" Type="http://schemas.openxmlformats.org/officeDocument/2006/relationships/table" Target="../tables/table32.xml"/><Relationship Id="rId2" Type="http://schemas.openxmlformats.org/officeDocument/2006/relationships/table" Target="../tables/table22.xml"/><Relationship Id="rId16" Type="http://schemas.openxmlformats.org/officeDocument/2006/relationships/table" Target="../tables/table36.xml"/><Relationship Id="rId1" Type="http://schemas.openxmlformats.org/officeDocument/2006/relationships/table" Target="../tables/table21.xml"/><Relationship Id="rId6" Type="http://schemas.openxmlformats.org/officeDocument/2006/relationships/table" Target="../tables/table26.xml"/><Relationship Id="rId11" Type="http://schemas.openxmlformats.org/officeDocument/2006/relationships/table" Target="../tables/table31.xml"/><Relationship Id="rId5" Type="http://schemas.openxmlformats.org/officeDocument/2006/relationships/table" Target="../tables/table25.xml"/><Relationship Id="rId15" Type="http://schemas.openxmlformats.org/officeDocument/2006/relationships/table" Target="../tables/table35.xml"/><Relationship Id="rId10" Type="http://schemas.openxmlformats.org/officeDocument/2006/relationships/table" Target="../tables/table30.xml"/><Relationship Id="rId4" Type="http://schemas.openxmlformats.org/officeDocument/2006/relationships/table" Target="../tables/table24.xml"/><Relationship Id="rId9" Type="http://schemas.openxmlformats.org/officeDocument/2006/relationships/table" Target="../tables/table29.xml"/><Relationship Id="rId14" Type="http://schemas.openxmlformats.org/officeDocument/2006/relationships/table" Target="../tables/table3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4.xml"/><Relationship Id="rId13" Type="http://schemas.openxmlformats.org/officeDocument/2006/relationships/table" Target="../tables/table49.xml"/><Relationship Id="rId18" Type="http://schemas.openxmlformats.org/officeDocument/2006/relationships/table" Target="../tables/table54.xml"/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12" Type="http://schemas.openxmlformats.org/officeDocument/2006/relationships/table" Target="../tables/table48.xml"/><Relationship Id="rId17" Type="http://schemas.openxmlformats.org/officeDocument/2006/relationships/table" Target="../tables/table53.xml"/><Relationship Id="rId2" Type="http://schemas.openxmlformats.org/officeDocument/2006/relationships/table" Target="../tables/table38.xml"/><Relationship Id="rId16" Type="http://schemas.openxmlformats.org/officeDocument/2006/relationships/table" Target="../tables/table52.xml"/><Relationship Id="rId1" Type="http://schemas.openxmlformats.org/officeDocument/2006/relationships/table" Target="../tables/table37.xml"/><Relationship Id="rId6" Type="http://schemas.openxmlformats.org/officeDocument/2006/relationships/table" Target="../tables/table42.xml"/><Relationship Id="rId11" Type="http://schemas.openxmlformats.org/officeDocument/2006/relationships/table" Target="../tables/table47.xml"/><Relationship Id="rId5" Type="http://schemas.openxmlformats.org/officeDocument/2006/relationships/table" Target="../tables/table41.xml"/><Relationship Id="rId15" Type="http://schemas.openxmlformats.org/officeDocument/2006/relationships/table" Target="../tables/table51.xml"/><Relationship Id="rId10" Type="http://schemas.openxmlformats.org/officeDocument/2006/relationships/table" Target="../tables/table46.xml"/><Relationship Id="rId4" Type="http://schemas.openxmlformats.org/officeDocument/2006/relationships/table" Target="../tables/table40.xml"/><Relationship Id="rId9" Type="http://schemas.openxmlformats.org/officeDocument/2006/relationships/table" Target="../tables/table45.xml"/><Relationship Id="rId14" Type="http://schemas.openxmlformats.org/officeDocument/2006/relationships/table" Target="../tables/table5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3FD1-4D29-BA42-BAB6-F210831B6A33}">
  <sheetPr>
    <tabColor rgb="FF0070C0"/>
  </sheetPr>
  <dimension ref="B5:AF115"/>
  <sheetViews>
    <sheetView zoomScale="115" zoomScaleNormal="155" workbookViewId="0">
      <selection activeCell="K7" sqref="K7"/>
    </sheetView>
  </sheetViews>
  <sheetFormatPr baseColWidth="10" defaultRowHeight="16" x14ac:dyDescent="0.2"/>
  <cols>
    <col min="2" max="2" width="18.5" bestFit="1" customWidth="1"/>
    <col min="3" max="3" width="16.33203125" customWidth="1"/>
    <col min="4" max="4" width="13.1640625" bestFit="1" customWidth="1"/>
    <col min="5" max="5" width="18" bestFit="1" customWidth="1"/>
    <col min="6" max="6" width="18.5" bestFit="1" customWidth="1"/>
    <col min="7" max="7" width="13.6640625" bestFit="1" customWidth="1"/>
    <col min="8" max="8" width="11.1640625" bestFit="1" customWidth="1"/>
    <col min="9" max="9" width="15.5" bestFit="1" customWidth="1"/>
    <col min="10" max="10" width="18.5" customWidth="1"/>
    <col min="11" max="11" width="13.6640625" bestFit="1" customWidth="1"/>
    <col min="12" max="12" width="13.1640625" bestFit="1" customWidth="1"/>
    <col min="13" max="13" width="10.83203125" customWidth="1"/>
    <col min="14" max="14" width="18.5" bestFit="1" customWidth="1"/>
    <col min="15" max="15" width="14.5" bestFit="1" customWidth="1"/>
    <col min="16" max="16" width="13.1640625" bestFit="1" customWidth="1"/>
    <col min="18" max="18" width="18.5" bestFit="1" customWidth="1"/>
    <col min="19" max="19" width="14.5" bestFit="1" customWidth="1"/>
    <col min="22" max="22" width="18.5" bestFit="1" customWidth="1"/>
    <col min="23" max="23" width="14.5" bestFit="1" customWidth="1"/>
    <col min="26" max="26" width="19.5" customWidth="1"/>
    <col min="27" max="27" width="14.5" bestFit="1" customWidth="1"/>
    <col min="30" max="30" width="18.5" bestFit="1" customWidth="1"/>
    <col min="31" max="31" width="13.6640625" bestFit="1" customWidth="1"/>
  </cols>
  <sheetData>
    <row r="5" spans="2:32" x14ac:dyDescent="0.2">
      <c r="B5" s="45" t="s">
        <v>8</v>
      </c>
      <c r="C5" s="45"/>
      <c r="D5" s="45"/>
      <c r="F5" s="45" t="s">
        <v>9</v>
      </c>
      <c r="G5" s="45"/>
      <c r="H5" s="45"/>
      <c r="J5" s="45" t="s">
        <v>10</v>
      </c>
      <c r="K5" s="45"/>
      <c r="L5" s="45"/>
      <c r="N5" s="45" t="s">
        <v>11</v>
      </c>
      <c r="O5" s="45"/>
      <c r="P5" s="45"/>
      <c r="R5" s="45" t="s">
        <v>12</v>
      </c>
      <c r="S5" s="45"/>
      <c r="T5" s="45"/>
      <c r="V5" s="45" t="s">
        <v>13</v>
      </c>
      <c r="W5" s="45"/>
      <c r="X5" s="45"/>
      <c r="Z5" s="45" t="s">
        <v>15</v>
      </c>
      <c r="AA5" s="45"/>
      <c r="AB5" s="45"/>
      <c r="AD5" s="45" t="s">
        <v>14</v>
      </c>
      <c r="AE5" s="45"/>
      <c r="AF5" s="45"/>
    </row>
    <row r="6" spans="2:32" x14ac:dyDescent="0.2">
      <c r="B6" t="s">
        <v>7</v>
      </c>
      <c r="C6" s="2" t="s">
        <v>4</v>
      </c>
      <c r="D6" s="1" t="s">
        <v>6</v>
      </c>
      <c r="F6" t="s">
        <v>7</v>
      </c>
      <c r="G6" s="2" t="s">
        <v>4</v>
      </c>
      <c r="H6" s="1" t="s">
        <v>6</v>
      </c>
      <c r="J6" t="s">
        <v>7</v>
      </c>
      <c r="K6" s="2" t="s">
        <v>4</v>
      </c>
      <c r="L6" s="1" t="s">
        <v>6</v>
      </c>
      <c r="N6" t="s">
        <v>7</v>
      </c>
      <c r="O6" s="2" t="s">
        <v>4</v>
      </c>
      <c r="P6" s="1" t="s">
        <v>6</v>
      </c>
      <c r="R6" s="6" t="s">
        <v>7</v>
      </c>
      <c r="S6" s="7" t="s">
        <v>4</v>
      </c>
      <c r="T6" s="8" t="s">
        <v>6</v>
      </c>
      <c r="V6" t="s">
        <v>7</v>
      </c>
      <c r="W6" s="2" t="s">
        <v>4</v>
      </c>
      <c r="X6" s="1" t="s">
        <v>6</v>
      </c>
      <c r="Z6" t="s">
        <v>7</v>
      </c>
      <c r="AA6" s="2" t="s">
        <v>4</v>
      </c>
      <c r="AB6" s="1" t="s">
        <v>6</v>
      </c>
      <c r="AD6" t="s">
        <v>7</v>
      </c>
      <c r="AE6" s="2" t="s">
        <v>4</v>
      </c>
      <c r="AF6" s="1" t="s">
        <v>6</v>
      </c>
    </row>
    <row r="7" spans="2:32" x14ac:dyDescent="0.2">
      <c r="B7" t="s">
        <v>5</v>
      </c>
      <c r="C7" s="2">
        <v>150000</v>
      </c>
      <c r="D7" s="1">
        <v>0</v>
      </c>
      <c r="F7" t="s">
        <v>5</v>
      </c>
      <c r="G7" s="2">
        <v>60000</v>
      </c>
      <c r="H7" s="1">
        <v>0</v>
      </c>
      <c r="J7" t="s">
        <v>5</v>
      </c>
      <c r="K7" s="2">
        <v>55000</v>
      </c>
      <c r="L7" s="1">
        <v>0</v>
      </c>
      <c r="N7" t="s">
        <v>5</v>
      </c>
      <c r="O7" s="2">
        <v>550000</v>
      </c>
      <c r="P7" s="1">
        <v>0</v>
      </c>
      <c r="R7" s="9" t="s">
        <v>5</v>
      </c>
      <c r="S7" s="10">
        <v>80000</v>
      </c>
      <c r="T7" s="11"/>
      <c r="V7" t="s">
        <v>5</v>
      </c>
      <c r="W7" s="2">
        <v>160000</v>
      </c>
      <c r="X7" s="1"/>
      <c r="Z7" t="s">
        <v>5</v>
      </c>
      <c r="AA7" s="2">
        <v>180000</v>
      </c>
      <c r="AB7" s="1"/>
      <c r="AD7" t="s">
        <v>5</v>
      </c>
      <c r="AE7" s="2">
        <v>80000</v>
      </c>
      <c r="AF7" s="1">
        <v>0</v>
      </c>
    </row>
    <row r="8" spans="2:32" x14ac:dyDescent="0.2">
      <c r="B8" t="s">
        <v>0</v>
      </c>
      <c r="C8" s="2">
        <f>(C7*D8)+C7</f>
        <v>157500</v>
      </c>
      <c r="D8" s="1">
        <v>0.05</v>
      </c>
      <c r="F8" t="s">
        <v>0</v>
      </c>
      <c r="G8" s="2">
        <f>(G7*H8)+G7</f>
        <v>63000</v>
      </c>
      <c r="H8" s="1">
        <v>0.05</v>
      </c>
      <c r="J8" t="s">
        <v>0</v>
      </c>
      <c r="K8" s="2">
        <f>(K7*L8)+K7</f>
        <v>57750</v>
      </c>
      <c r="L8" s="1">
        <v>0.05</v>
      </c>
      <c r="N8" t="s">
        <v>0</v>
      </c>
      <c r="O8" s="2">
        <f>(O7*P8)+O7</f>
        <v>577500</v>
      </c>
      <c r="P8" s="1">
        <v>0.05</v>
      </c>
      <c r="R8" s="16" t="s">
        <v>0</v>
      </c>
      <c r="S8" s="17">
        <f>(S7*T8)+S7</f>
        <v>84000</v>
      </c>
      <c r="T8" s="21">
        <v>0.05</v>
      </c>
      <c r="V8" t="s">
        <v>0</v>
      </c>
      <c r="W8" s="2">
        <f>(W7*X8)+W7</f>
        <v>168000</v>
      </c>
      <c r="X8" s="1">
        <v>0.05</v>
      </c>
      <c r="Z8" t="s">
        <v>0</v>
      </c>
      <c r="AA8" s="2">
        <f>(AA7*AB8)+AA7</f>
        <v>189000</v>
      </c>
      <c r="AB8" s="1">
        <v>0.05</v>
      </c>
      <c r="AD8" t="s">
        <v>0</v>
      </c>
      <c r="AE8" s="2">
        <f>(AE7*AF8)+AE7</f>
        <v>84000</v>
      </c>
      <c r="AF8" s="1">
        <v>0.05</v>
      </c>
    </row>
    <row r="9" spans="2:32" x14ac:dyDescent="0.2">
      <c r="B9" t="s">
        <v>1</v>
      </c>
      <c r="C9" s="2">
        <f t="shared" ref="C9:C15" si="0">(C8*D9)+C8</f>
        <v>165375</v>
      </c>
      <c r="D9" s="1">
        <v>0.05</v>
      </c>
      <c r="F9" t="s">
        <v>1</v>
      </c>
      <c r="G9" s="2">
        <f t="shared" ref="G9:G15" si="1">(G8*H9)+G8</f>
        <v>66150</v>
      </c>
      <c r="H9" s="1">
        <v>0.05</v>
      </c>
      <c r="J9" t="s">
        <v>1</v>
      </c>
      <c r="K9" s="2">
        <f t="shared" ref="K9:K15" si="2">(K8*L9)+K8</f>
        <v>60637.5</v>
      </c>
      <c r="L9" s="1">
        <v>0.05</v>
      </c>
      <c r="N9" t="s">
        <v>1</v>
      </c>
      <c r="O9" s="2">
        <f t="shared" ref="O9:O15" si="3">(O8*P9)+O8</f>
        <v>606375</v>
      </c>
      <c r="P9" s="1">
        <v>0.05</v>
      </c>
      <c r="R9" s="15" t="s">
        <v>1</v>
      </c>
      <c r="S9" s="19">
        <f t="shared" ref="S9:S15" si="4">(S8*T9)+S8</f>
        <v>88200</v>
      </c>
      <c r="T9" s="22">
        <v>0.05</v>
      </c>
      <c r="V9" t="s">
        <v>1</v>
      </c>
      <c r="W9" s="2">
        <f t="shared" ref="W9:W15" si="5">(W8*X9)+W8</f>
        <v>176400</v>
      </c>
      <c r="X9" s="1">
        <v>0.05</v>
      </c>
      <c r="Z9" t="s">
        <v>1</v>
      </c>
      <c r="AA9" s="2">
        <f t="shared" ref="AA9:AA15" si="6">(AA8*AB9)+AA8</f>
        <v>198450</v>
      </c>
      <c r="AB9" s="1">
        <v>0.05</v>
      </c>
      <c r="AD9" t="s">
        <v>1</v>
      </c>
      <c r="AE9" s="2">
        <f t="shared" ref="AE9:AE15" si="7">(AE8*AF9)+AE8</f>
        <v>88200</v>
      </c>
      <c r="AF9" s="1">
        <v>0.05</v>
      </c>
    </row>
    <row r="10" spans="2:32" x14ac:dyDescent="0.2">
      <c r="B10" t="s">
        <v>2</v>
      </c>
      <c r="C10" s="2">
        <f t="shared" si="0"/>
        <v>173643.75</v>
      </c>
      <c r="D10" s="1">
        <v>0.05</v>
      </c>
      <c r="F10" t="s">
        <v>2</v>
      </c>
      <c r="G10" s="2">
        <f t="shared" si="1"/>
        <v>69457.5</v>
      </c>
      <c r="H10" s="1">
        <v>0.05</v>
      </c>
      <c r="J10" t="s">
        <v>2</v>
      </c>
      <c r="K10" s="2">
        <f t="shared" si="2"/>
        <v>63669.375</v>
      </c>
      <c r="L10" s="1">
        <v>0.05</v>
      </c>
      <c r="N10" t="s">
        <v>2</v>
      </c>
      <c r="O10" s="2">
        <f t="shared" si="3"/>
        <v>636693.75</v>
      </c>
      <c r="P10" s="1">
        <v>0.05</v>
      </c>
      <c r="R10" s="16" t="s">
        <v>2</v>
      </c>
      <c r="S10" s="17">
        <f t="shared" si="4"/>
        <v>92610</v>
      </c>
      <c r="T10" s="21">
        <v>0.05</v>
      </c>
      <c r="V10" t="s">
        <v>2</v>
      </c>
      <c r="W10" s="2">
        <f t="shared" si="5"/>
        <v>185220</v>
      </c>
      <c r="X10" s="1">
        <v>0.05</v>
      </c>
      <c r="Z10" t="s">
        <v>2</v>
      </c>
      <c r="AA10" s="2">
        <f t="shared" si="6"/>
        <v>208372.5</v>
      </c>
      <c r="AB10" s="1">
        <v>0.05</v>
      </c>
      <c r="AD10" t="s">
        <v>2</v>
      </c>
      <c r="AE10" s="2">
        <f t="shared" si="7"/>
        <v>92610</v>
      </c>
      <c r="AF10" s="1">
        <v>0.05</v>
      </c>
    </row>
    <row r="11" spans="2:32" x14ac:dyDescent="0.2">
      <c r="B11" t="s">
        <v>3</v>
      </c>
      <c r="C11" s="2">
        <f t="shared" si="0"/>
        <v>178853.0625</v>
      </c>
      <c r="D11" s="1">
        <v>0.03</v>
      </c>
      <c r="F11" t="s">
        <v>3</v>
      </c>
      <c r="G11" s="2">
        <f t="shared" si="1"/>
        <v>71541.225000000006</v>
      </c>
      <c r="H11" s="1">
        <v>0.03</v>
      </c>
      <c r="J11" t="s">
        <v>3</v>
      </c>
      <c r="K11" s="2">
        <f t="shared" si="2"/>
        <v>65579.456250000003</v>
      </c>
      <c r="L11" s="1">
        <v>0.03</v>
      </c>
      <c r="N11" t="s">
        <v>3</v>
      </c>
      <c r="O11" s="2">
        <f t="shared" si="3"/>
        <v>655794.5625</v>
      </c>
      <c r="P11" s="1">
        <v>0.03</v>
      </c>
      <c r="R11" s="15" t="s">
        <v>3</v>
      </c>
      <c r="S11" s="19">
        <f t="shared" si="4"/>
        <v>95388.3</v>
      </c>
      <c r="T11" s="22">
        <v>0.03</v>
      </c>
      <c r="V11" t="s">
        <v>3</v>
      </c>
      <c r="W11" s="2">
        <f t="shared" si="5"/>
        <v>190776.6</v>
      </c>
      <c r="X11" s="1">
        <v>0.03</v>
      </c>
      <c r="Z11" t="s">
        <v>3</v>
      </c>
      <c r="AA11" s="2">
        <f t="shared" si="6"/>
        <v>214623.67499999999</v>
      </c>
      <c r="AB11" s="1">
        <v>0.03</v>
      </c>
      <c r="AD11" t="s">
        <v>3</v>
      </c>
      <c r="AE11" s="2">
        <f t="shared" si="7"/>
        <v>95388.3</v>
      </c>
      <c r="AF11" s="1">
        <v>0.03</v>
      </c>
    </row>
    <row r="12" spans="2:32" x14ac:dyDescent="0.2">
      <c r="B12" s="12" t="s">
        <v>26</v>
      </c>
      <c r="C12" s="2">
        <f t="shared" si="0"/>
        <v>184218.65437500001</v>
      </c>
      <c r="D12" s="1">
        <v>0.03</v>
      </c>
      <c r="F12" s="12" t="s">
        <v>26</v>
      </c>
      <c r="G12" s="2">
        <f t="shared" si="1"/>
        <v>73687.461750000002</v>
      </c>
      <c r="H12" s="1">
        <v>0.03</v>
      </c>
      <c r="J12" s="12" t="s">
        <v>26</v>
      </c>
      <c r="K12" s="2">
        <f t="shared" si="2"/>
        <v>67546.839937500001</v>
      </c>
      <c r="L12" s="1">
        <v>0.03</v>
      </c>
      <c r="N12" s="12" t="s">
        <v>26</v>
      </c>
      <c r="O12" s="2">
        <f t="shared" si="3"/>
        <v>675468.39937500004</v>
      </c>
      <c r="P12" s="1">
        <v>0.03</v>
      </c>
      <c r="R12" s="23" t="s">
        <v>26</v>
      </c>
      <c r="S12" s="17">
        <f t="shared" si="4"/>
        <v>98249.949000000008</v>
      </c>
      <c r="T12" s="21">
        <v>0.03</v>
      </c>
      <c r="V12" s="12" t="s">
        <v>26</v>
      </c>
      <c r="W12" s="2">
        <f t="shared" si="5"/>
        <v>196499.89800000002</v>
      </c>
      <c r="X12" s="1">
        <v>0.03</v>
      </c>
      <c r="Z12" s="12" t="s">
        <v>26</v>
      </c>
      <c r="AA12" s="2">
        <f t="shared" si="6"/>
        <v>221062.38524999999</v>
      </c>
      <c r="AB12" s="1">
        <v>0.03</v>
      </c>
      <c r="AD12" s="12" t="s">
        <v>26</v>
      </c>
      <c r="AE12" s="2">
        <f t="shared" si="7"/>
        <v>98249.949000000008</v>
      </c>
      <c r="AF12" s="1">
        <v>0.03</v>
      </c>
    </row>
    <row r="13" spans="2:32" x14ac:dyDescent="0.2">
      <c r="B13" s="12" t="s">
        <v>27</v>
      </c>
      <c r="C13" s="2">
        <f t="shared" si="0"/>
        <v>193429.58709375001</v>
      </c>
      <c r="D13" s="1">
        <v>0.05</v>
      </c>
      <c r="F13" s="12" t="s">
        <v>27</v>
      </c>
      <c r="G13" s="2">
        <f t="shared" si="1"/>
        <v>77371.834837500006</v>
      </c>
      <c r="H13" s="1">
        <v>0.05</v>
      </c>
      <c r="J13" s="12" t="s">
        <v>27</v>
      </c>
      <c r="K13" s="2">
        <f t="shared" si="2"/>
        <v>70924.181934374996</v>
      </c>
      <c r="L13" s="1">
        <v>0.05</v>
      </c>
      <c r="N13" s="12" t="s">
        <v>27</v>
      </c>
      <c r="O13" s="2">
        <f t="shared" si="3"/>
        <v>709241.81934375002</v>
      </c>
      <c r="P13" s="1">
        <v>0.05</v>
      </c>
      <c r="R13" s="24" t="s">
        <v>27</v>
      </c>
      <c r="S13" s="19">
        <f t="shared" si="4"/>
        <v>103162.44645</v>
      </c>
      <c r="T13" s="22">
        <v>0.05</v>
      </c>
      <c r="V13" s="12" t="s">
        <v>27</v>
      </c>
      <c r="W13" s="2">
        <f t="shared" si="5"/>
        <v>206324.89290000001</v>
      </c>
      <c r="X13" s="1">
        <v>0.05</v>
      </c>
      <c r="Z13" s="12" t="s">
        <v>27</v>
      </c>
      <c r="AA13" s="2">
        <f t="shared" si="6"/>
        <v>232115.50451249999</v>
      </c>
      <c r="AB13" s="1">
        <v>0.05</v>
      </c>
      <c r="AD13" s="12" t="s">
        <v>27</v>
      </c>
      <c r="AE13" s="2">
        <f t="shared" si="7"/>
        <v>103162.44645</v>
      </c>
      <c r="AF13" s="1">
        <v>0.05</v>
      </c>
    </row>
    <row r="14" spans="2:32" x14ac:dyDescent="0.2">
      <c r="B14" s="12" t="s">
        <v>28</v>
      </c>
      <c r="C14" s="2">
        <f t="shared" si="0"/>
        <v>203101.06644843752</v>
      </c>
      <c r="D14" s="1">
        <v>0.05</v>
      </c>
      <c r="F14" s="12" t="s">
        <v>28</v>
      </c>
      <c r="G14" s="2">
        <f t="shared" si="1"/>
        <v>81240.426579375009</v>
      </c>
      <c r="H14" s="1">
        <v>0.05</v>
      </c>
      <c r="J14" s="12" t="s">
        <v>28</v>
      </c>
      <c r="K14" s="2">
        <f t="shared" si="2"/>
        <v>74470.39103109375</v>
      </c>
      <c r="L14" s="1">
        <v>0.05</v>
      </c>
      <c r="N14" s="12" t="s">
        <v>28</v>
      </c>
      <c r="O14" s="2">
        <f t="shared" si="3"/>
        <v>744703.91031093756</v>
      </c>
      <c r="P14" s="1">
        <v>0.05</v>
      </c>
      <c r="R14" s="23" t="s">
        <v>28</v>
      </c>
      <c r="S14" s="17">
        <f t="shared" si="4"/>
        <v>108320.5687725</v>
      </c>
      <c r="T14" s="21">
        <v>0.05</v>
      </c>
      <c r="V14" s="12" t="s">
        <v>28</v>
      </c>
      <c r="W14" s="2">
        <f t="shared" si="5"/>
        <v>216641.13754500001</v>
      </c>
      <c r="X14" s="1">
        <v>0.05</v>
      </c>
      <c r="Z14" s="12" t="s">
        <v>28</v>
      </c>
      <c r="AA14" s="2">
        <f t="shared" si="6"/>
        <v>243721.27973812498</v>
      </c>
      <c r="AB14" s="1">
        <v>0.05</v>
      </c>
      <c r="AD14" s="12" t="s">
        <v>28</v>
      </c>
      <c r="AE14" s="2">
        <f t="shared" si="7"/>
        <v>108320.5687725</v>
      </c>
      <c r="AF14" s="1">
        <v>0.05</v>
      </c>
    </row>
    <row r="15" spans="2:32" x14ac:dyDescent="0.2">
      <c r="B15" s="12" t="s">
        <v>29</v>
      </c>
      <c r="C15" s="2">
        <f t="shared" si="0"/>
        <v>213256.1197708594</v>
      </c>
      <c r="D15" s="1">
        <v>0.05</v>
      </c>
      <c r="F15" s="12" t="s">
        <v>29</v>
      </c>
      <c r="G15" s="2">
        <f t="shared" si="1"/>
        <v>85302.447908343762</v>
      </c>
      <c r="H15" s="1">
        <v>0.05</v>
      </c>
      <c r="J15" s="12" t="s">
        <v>29</v>
      </c>
      <c r="K15" s="2">
        <f t="shared" si="2"/>
        <v>78193.910582648445</v>
      </c>
      <c r="L15" s="1">
        <v>0.05</v>
      </c>
      <c r="N15" s="12" t="s">
        <v>29</v>
      </c>
      <c r="O15" s="2">
        <f t="shared" si="3"/>
        <v>781939.10582648439</v>
      </c>
      <c r="P15" s="1">
        <v>0.05</v>
      </c>
      <c r="R15" s="24" t="s">
        <v>29</v>
      </c>
      <c r="S15" s="19">
        <f t="shared" si="4"/>
        <v>113736.597211125</v>
      </c>
      <c r="T15" s="22">
        <v>0.05</v>
      </c>
      <c r="V15" s="12" t="s">
        <v>29</v>
      </c>
      <c r="W15" s="2">
        <f t="shared" si="5"/>
        <v>227473.19442225</v>
      </c>
      <c r="X15" s="1">
        <v>0.05</v>
      </c>
      <c r="Z15" s="12" t="s">
        <v>29</v>
      </c>
      <c r="AA15" s="2">
        <f t="shared" si="6"/>
        <v>255907.34372503124</v>
      </c>
      <c r="AB15" s="1">
        <v>0.05</v>
      </c>
      <c r="AD15" s="12" t="s">
        <v>29</v>
      </c>
      <c r="AE15" s="2">
        <f t="shared" si="7"/>
        <v>113736.597211125</v>
      </c>
      <c r="AF15" s="1">
        <v>0.05</v>
      </c>
    </row>
    <row r="16" spans="2:32" x14ac:dyDescent="0.2">
      <c r="B16" s="12">
        <v>101</v>
      </c>
      <c r="C16" s="2">
        <f>C15+Tabla315[[#This Row],[Incremento]]</f>
        <v>213756.1197708594</v>
      </c>
      <c r="D16" s="2">
        <v>500</v>
      </c>
      <c r="F16" s="12">
        <v>101</v>
      </c>
      <c r="G16" s="2">
        <f>G15+Tabla315[[#This Row],[Incremento]]</f>
        <v>85802.447908343762</v>
      </c>
      <c r="H16" s="2">
        <v>500</v>
      </c>
      <c r="J16" s="12">
        <v>101</v>
      </c>
      <c r="K16" s="2">
        <f>K15+Tabla315[[#This Row],[Incremento]]</f>
        <v>78693.910582648445</v>
      </c>
      <c r="L16" s="2">
        <v>500</v>
      </c>
      <c r="N16" s="12">
        <v>101</v>
      </c>
      <c r="O16" s="2">
        <f>O15+Tabla315[[#This Row],[Incremento]]</f>
        <v>782439.10582648439</v>
      </c>
      <c r="P16" s="2">
        <v>500</v>
      </c>
      <c r="R16" s="23">
        <v>101</v>
      </c>
      <c r="S16" s="17">
        <f>S15+Tabla315[[#This Row],[Incremento]]</f>
        <v>114236.597211125</v>
      </c>
      <c r="T16" s="18">
        <v>500</v>
      </c>
      <c r="V16" s="12">
        <v>101</v>
      </c>
      <c r="W16" s="2">
        <f>W15+Tabla315[[#This Row],[Incremento]]</f>
        <v>227973.19442225</v>
      </c>
      <c r="X16" s="2">
        <v>500</v>
      </c>
      <c r="Z16" s="12">
        <v>101</v>
      </c>
      <c r="AA16" s="2">
        <f>AA15+Tabla315[[#This Row],[Incremento]]</f>
        <v>256407.34372503124</v>
      </c>
      <c r="AB16" s="2">
        <v>500</v>
      </c>
      <c r="AD16" s="12">
        <v>101</v>
      </c>
      <c r="AE16" s="2">
        <f>AE15+Tabla315[[#This Row],[Incremento]]</f>
        <v>114236.597211125</v>
      </c>
      <c r="AF16" s="2">
        <v>500</v>
      </c>
    </row>
    <row r="17" spans="2:32" x14ac:dyDescent="0.2">
      <c r="B17" s="12">
        <v>102</v>
      </c>
      <c r="C17" s="2">
        <f>C16+Tabla315[[#This Row],[Incremento]]</f>
        <v>214256.1197708594</v>
      </c>
      <c r="D17" s="2">
        <v>500</v>
      </c>
      <c r="F17" s="12">
        <v>102</v>
      </c>
      <c r="G17" s="2">
        <f>G16+Tabla315[[#This Row],[Incremento]]</f>
        <v>86302.447908343762</v>
      </c>
      <c r="H17" s="2">
        <v>500</v>
      </c>
      <c r="J17" s="12">
        <v>102</v>
      </c>
      <c r="K17" s="2">
        <f>K16+Tabla315[[#This Row],[Incremento]]</f>
        <v>79193.910582648445</v>
      </c>
      <c r="L17" s="2">
        <v>500</v>
      </c>
      <c r="N17" s="12">
        <v>102</v>
      </c>
      <c r="O17" s="2">
        <f>O16+Tabla315[[#This Row],[Incremento]]</f>
        <v>782939.10582648439</v>
      </c>
      <c r="P17" s="2">
        <v>500</v>
      </c>
      <c r="R17" s="24">
        <v>102</v>
      </c>
      <c r="S17" s="19">
        <f>S16+Tabla315[[#This Row],[Incremento]]</f>
        <v>114736.597211125</v>
      </c>
      <c r="T17" s="20">
        <v>500</v>
      </c>
      <c r="V17" s="12">
        <v>102</v>
      </c>
      <c r="W17" s="2">
        <f>W16+Tabla315[[#This Row],[Incremento]]</f>
        <v>228473.19442225</v>
      </c>
      <c r="X17" s="2">
        <v>500</v>
      </c>
      <c r="Z17" s="12">
        <v>102</v>
      </c>
      <c r="AA17" s="2">
        <f>AA16+Tabla315[[#This Row],[Incremento]]</f>
        <v>256907.34372503124</v>
      </c>
      <c r="AB17" s="2">
        <v>500</v>
      </c>
      <c r="AD17" s="12">
        <v>102</v>
      </c>
      <c r="AE17" s="2">
        <f>AE16+Tabla315[[#This Row],[Incremento]]</f>
        <v>114736.597211125</v>
      </c>
      <c r="AF17" s="2">
        <v>500</v>
      </c>
    </row>
    <row r="18" spans="2:32" x14ac:dyDescent="0.2">
      <c r="B18" s="12">
        <v>103</v>
      </c>
      <c r="C18" s="2">
        <f>C17+Tabla315[[#This Row],[Incremento]]</f>
        <v>214756.1197708594</v>
      </c>
      <c r="D18" s="2">
        <v>500</v>
      </c>
      <c r="F18" s="12">
        <v>103</v>
      </c>
      <c r="G18" s="2">
        <f>G17+Tabla315[[#This Row],[Incremento]]</f>
        <v>86802.447908343762</v>
      </c>
      <c r="H18" s="2">
        <v>500</v>
      </c>
      <c r="J18" s="12">
        <v>103</v>
      </c>
      <c r="K18" s="2">
        <f>K17+Tabla315[[#This Row],[Incremento]]</f>
        <v>79693.910582648445</v>
      </c>
      <c r="L18" s="2">
        <v>500</v>
      </c>
      <c r="N18" s="12">
        <v>103</v>
      </c>
      <c r="O18" s="2">
        <f>O17+Tabla315[[#This Row],[Incremento]]</f>
        <v>783439.10582648439</v>
      </c>
      <c r="P18" s="2">
        <v>500</v>
      </c>
      <c r="R18" s="23">
        <v>103</v>
      </c>
      <c r="S18" s="17">
        <f>S17+Tabla315[[#This Row],[Incremento]]</f>
        <v>115236.597211125</v>
      </c>
      <c r="T18" s="18">
        <v>500</v>
      </c>
      <c r="V18" s="12">
        <v>103</v>
      </c>
      <c r="W18" s="2">
        <f>W17+Tabla315[[#This Row],[Incremento]]</f>
        <v>228973.19442225</v>
      </c>
      <c r="X18" s="2">
        <v>500</v>
      </c>
      <c r="Z18" s="12">
        <v>103</v>
      </c>
      <c r="AA18" s="2">
        <f>AA17+Tabla315[[#This Row],[Incremento]]</f>
        <v>257407.34372503124</v>
      </c>
      <c r="AB18" s="2">
        <v>500</v>
      </c>
      <c r="AD18" s="12">
        <v>103</v>
      </c>
      <c r="AE18" s="2">
        <f>AE17+Tabla315[[#This Row],[Incremento]]</f>
        <v>115236.597211125</v>
      </c>
      <c r="AF18" s="2">
        <v>500</v>
      </c>
    </row>
    <row r="19" spans="2:32" x14ac:dyDescent="0.2">
      <c r="B19" s="12">
        <v>104</v>
      </c>
      <c r="C19" s="2">
        <f>C18+Tabla315[[#This Row],[Incremento]]</f>
        <v>215256.1197708594</v>
      </c>
      <c r="D19" s="2">
        <v>500</v>
      </c>
      <c r="F19" s="12">
        <v>104</v>
      </c>
      <c r="G19" s="2">
        <f>G18+Tabla315[[#This Row],[Incremento]]</f>
        <v>87302.447908343762</v>
      </c>
      <c r="H19" s="2">
        <v>500</v>
      </c>
      <c r="J19" s="12">
        <v>104</v>
      </c>
      <c r="K19" s="2">
        <f>K18+Tabla315[[#This Row],[Incremento]]</f>
        <v>80193.910582648445</v>
      </c>
      <c r="L19" s="2">
        <v>500</v>
      </c>
      <c r="N19" s="12">
        <v>104</v>
      </c>
      <c r="O19" s="2">
        <f>O18+Tabla315[[#This Row],[Incremento]]</f>
        <v>783939.10582648439</v>
      </c>
      <c r="P19" s="2">
        <v>500</v>
      </c>
      <c r="R19" s="24">
        <v>104</v>
      </c>
      <c r="S19" s="19">
        <f>S18+Tabla315[[#This Row],[Incremento]]</f>
        <v>115736.597211125</v>
      </c>
      <c r="T19" s="20">
        <v>500</v>
      </c>
      <c r="V19" s="12">
        <v>104</v>
      </c>
      <c r="W19" s="2">
        <f>W18+Tabla315[[#This Row],[Incremento]]</f>
        <v>229473.19442225</v>
      </c>
      <c r="X19" s="2">
        <v>500</v>
      </c>
      <c r="Z19" s="12">
        <v>104</v>
      </c>
      <c r="AA19" s="2">
        <f>AA18+Tabla315[[#This Row],[Incremento]]</f>
        <v>257907.34372503124</v>
      </c>
      <c r="AB19" s="2">
        <v>500</v>
      </c>
      <c r="AD19" s="12">
        <v>104</v>
      </c>
      <c r="AE19" s="2">
        <f>AE18+Tabla315[[#This Row],[Incremento]]</f>
        <v>115736.597211125</v>
      </c>
      <c r="AF19" s="2">
        <v>500</v>
      </c>
    </row>
    <row r="20" spans="2:32" ht="16" customHeight="1" x14ac:dyDescent="0.2">
      <c r="B20" s="12">
        <v>105</v>
      </c>
      <c r="C20" s="2">
        <f>C19+Tabla315[[#This Row],[Incremento]]</f>
        <v>215756.1197708594</v>
      </c>
      <c r="D20" s="2">
        <v>500</v>
      </c>
      <c r="F20" s="12">
        <v>105</v>
      </c>
      <c r="G20" s="2">
        <f>G19+Tabla315[[#This Row],[Incremento]]</f>
        <v>87802.447908343762</v>
      </c>
      <c r="H20" s="2">
        <v>500</v>
      </c>
      <c r="J20" s="12">
        <v>105</v>
      </c>
      <c r="K20" s="2">
        <f>K19+Tabla315[[#This Row],[Incremento]]</f>
        <v>80693.910582648445</v>
      </c>
      <c r="L20" s="2">
        <v>500</v>
      </c>
      <c r="N20" s="12">
        <v>105</v>
      </c>
      <c r="O20" s="2">
        <f>O19+Tabla315[[#This Row],[Incremento]]</f>
        <v>784439.10582648439</v>
      </c>
      <c r="P20" s="2">
        <v>500</v>
      </c>
      <c r="R20" s="23">
        <v>105</v>
      </c>
      <c r="S20" s="17">
        <f>S19+Tabla315[[#This Row],[Incremento]]</f>
        <v>116236.597211125</v>
      </c>
      <c r="T20" s="18">
        <v>500</v>
      </c>
      <c r="V20" s="12">
        <v>105</v>
      </c>
      <c r="W20" s="2">
        <f>W19+Tabla315[[#This Row],[Incremento]]</f>
        <v>229973.19442225</v>
      </c>
      <c r="X20" s="2">
        <v>500</v>
      </c>
      <c r="Z20" s="12">
        <v>105</v>
      </c>
      <c r="AA20" s="2">
        <f>AA19+Tabla315[[#This Row],[Incremento]]</f>
        <v>258407.34372503124</v>
      </c>
      <c r="AB20" s="2">
        <v>500</v>
      </c>
      <c r="AD20" s="12">
        <v>105</v>
      </c>
      <c r="AE20" s="2">
        <f>AE19+Tabla315[[#This Row],[Incremento]]</f>
        <v>116236.597211125</v>
      </c>
      <c r="AF20" s="2">
        <v>500</v>
      </c>
    </row>
    <row r="21" spans="2:32" x14ac:dyDescent="0.2">
      <c r="B21" s="12">
        <v>106</v>
      </c>
      <c r="C21" s="2">
        <f>C20+Tabla315[[#This Row],[Incremento]]</f>
        <v>216256.1197708594</v>
      </c>
      <c r="D21" s="2">
        <v>500</v>
      </c>
      <c r="F21" s="12">
        <v>106</v>
      </c>
      <c r="G21" s="2">
        <f>G20+Tabla315[[#This Row],[Incremento]]</f>
        <v>88302.447908343762</v>
      </c>
      <c r="H21" s="2">
        <v>500</v>
      </c>
      <c r="J21" s="12">
        <v>106</v>
      </c>
      <c r="K21" s="2">
        <f>K20+Tabla315[[#This Row],[Incremento]]</f>
        <v>81193.910582648445</v>
      </c>
      <c r="L21" s="2">
        <v>500</v>
      </c>
      <c r="N21" s="12">
        <v>106</v>
      </c>
      <c r="O21" s="2">
        <f>O20+Tabla315[[#This Row],[Incremento]]</f>
        <v>784939.10582648439</v>
      </c>
      <c r="P21" s="2">
        <v>500</v>
      </c>
      <c r="R21" s="24">
        <v>106</v>
      </c>
      <c r="S21" s="19">
        <f>S20+Tabla315[[#This Row],[Incremento]]</f>
        <v>116736.597211125</v>
      </c>
      <c r="T21" s="20">
        <v>500</v>
      </c>
      <c r="V21" s="12">
        <v>106</v>
      </c>
      <c r="W21" s="2">
        <f>W20+Tabla315[[#This Row],[Incremento]]</f>
        <v>230473.19442225</v>
      </c>
      <c r="X21" s="2">
        <v>500</v>
      </c>
      <c r="Z21" s="12">
        <v>106</v>
      </c>
      <c r="AA21" s="2">
        <f>AA20+Tabla315[[#This Row],[Incremento]]</f>
        <v>258907.34372503124</v>
      </c>
      <c r="AB21" s="2">
        <v>500</v>
      </c>
      <c r="AD21" s="12">
        <v>106</v>
      </c>
      <c r="AE21" s="2">
        <f>AE20+Tabla315[[#This Row],[Incremento]]</f>
        <v>116736.597211125</v>
      </c>
      <c r="AF21" s="2">
        <v>500</v>
      </c>
    </row>
    <row r="22" spans="2:32" x14ac:dyDescent="0.2">
      <c r="B22" s="12">
        <v>107</v>
      </c>
      <c r="C22" s="2">
        <f>C21+Tabla315[[#This Row],[Incremento]]</f>
        <v>216756.1197708594</v>
      </c>
      <c r="D22" s="2">
        <v>500</v>
      </c>
      <c r="F22" s="12">
        <v>107</v>
      </c>
      <c r="G22" s="2">
        <f>G21+Tabla315[[#This Row],[Incremento]]</f>
        <v>88802.447908343762</v>
      </c>
      <c r="H22" s="2">
        <v>500</v>
      </c>
      <c r="J22" s="12">
        <v>107</v>
      </c>
      <c r="K22" s="2">
        <f>K21+Tabla315[[#This Row],[Incremento]]</f>
        <v>81693.910582648445</v>
      </c>
      <c r="L22" s="2">
        <v>500</v>
      </c>
      <c r="N22" s="12">
        <v>107</v>
      </c>
      <c r="O22" s="2">
        <f>O21+Tabla315[[#This Row],[Incremento]]</f>
        <v>785439.10582648439</v>
      </c>
      <c r="P22" s="2">
        <v>500</v>
      </c>
      <c r="R22" s="23">
        <v>107</v>
      </c>
      <c r="S22" s="17">
        <f>S21+Tabla315[[#This Row],[Incremento]]</f>
        <v>117236.597211125</v>
      </c>
      <c r="T22" s="18">
        <v>500</v>
      </c>
      <c r="V22" s="12">
        <v>107</v>
      </c>
      <c r="W22" s="2">
        <f>W21+Tabla315[[#This Row],[Incremento]]</f>
        <v>230973.19442225</v>
      </c>
      <c r="X22" s="2">
        <v>500</v>
      </c>
      <c r="Z22" s="12">
        <v>107</v>
      </c>
      <c r="AA22" s="2">
        <f>AA21+Tabla315[[#This Row],[Incremento]]</f>
        <v>259407.34372503124</v>
      </c>
      <c r="AB22" s="2">
        <v>500</v>
      </c>
      <c r="AD22" s="12">
        <v>107</v>
      </c>
      <c r="AE22" s="2">
        <f>AE21+Tabla315[[#This Row],[Incremento]]</f>
        <v>117236.597211125</v>
      </c>
      <c r="AF22" s="2">
        <v>500</v>
      </c>
    </row>
    <row r="23" spans="2:32" x14ac:dyDescent="0.2">
      <c r="B23" s="12">
        <v>108</v>
      </c>
      <c r="C23" s="2">
        <f>C22+Tabla315[[#This Row],[Incremento]]</f>
        <v>217256.1197708594</v>
      </c>
      <c r="D23" s="2">
        <v>500</v>
      </c>
      <c r="F23" s="12">
        <v>108</v>
      </c>
      <c r="G23" s="2">
        <f>G22+Tabla315[[#This Row],[Incremento]]</f>
        <v>89302.447908343762</v>
      </c>
      <c r="H23" s="2">
        <v>500</v>
      </c>
      <c r="J23" s="12">
        <v>108</v>
      </c>
      <c r="K23" s="2">
        <f>K22+Tabla315[[#This Row],[Incremento]]</f>
        <v>82193.910582648445</v>
      </c>
      <c r="L23" s="2">
        <v>500</v>
      </c>
      <c r="N23" s="12">
        <v>108</v>
      </c>
      <c r="O23" s="2">
        <f>O22+Tabla315[[#This Row],[Incremento]]</f>
        <v>785939.10582648439</v>
      </c>
      <c r="P23" s="2">
        <v>500</v>
      </c>
      <c r="R23" s="24">
        <v>108</v>
      </c>
      <c r="S23" s="19">
        <f>S22+Tabla315[[#This Row],[Incremento]]</f>
        <v>117736.597211125</v>
      </c>
      <c r="T23" s="20">
        <v>500</v>
      </c>
      <c r="V23" s="12">
        <v>108</v>
      </c>
      <c r="W23" s="2">
        <f>W22+Tabla315[[#This Row],[Incremento]]</f>
        <v>231473.19442225</v>
      </c>
      <c r="X23" s="2">
        <v>500</v>
      </c>
      <c r="Z23" s="12">
        <v>108</v>
      </c>
      <c r="AA23" s="2">
        <f>AA22+Tabla315[[#This Row],[Incremento]]</f>
        <v>259907.34372503124</v>
      </c>
      <c r="AB23" s="2">
        <v>500</v>
      </c>
      <c r="AD23" s="12">
        <v>108</v>
      </c>
      <c r="AE23" s="2">
        <f>AE22+Tabla315[[#This Row],[Incremento]]</f>
        <v>117736.597211125</v>
      </c>
      <c r="AF23" s="2">
        <v>500</v>
      </c>
    </row>
    <row r="24" spans="2:32" x14ac:dyDescent="0.2">
      <c r="B24" s="12">
        <v>109</v>
      </c>
      <c r="C24" s="2">
        <f>C23+Tabla315[[#This Row],[Incremento]]</f>
        <v>217756.1197708594</v>
      </c>
      <c r="D24" s="2">
        <v>500</v>
      </c>
      <c r="F24" s="12">
        <v>109</v>
      </c>
      <c r="G24" s="2">
        <f>G23+Tabla315[[#This Row],[Incremento]]</f>
        <v>89802.447908343762</v>
      </c>
      <c r="H24" s="2">
        <v>500</v>
      </c>
      <c r="J24" s="12">
        <v>109</v>
      </c>
      <c r="K24" s="2">
        <f>K23+Tabla315[[#This Row],[Incremento]]</f>
        <v>82693.910582648445</v>
      </c>
      <c r="L24" s="2">
        <v>500</v>
      </c>
      <c r="N24" s="12">
        <v>109</v>
      </c>
      <c r="O24" s="2">
        <f>O23+Tabla315[[#This Row],[Incremento]]</f>
        <v>786439.10582648439</v>
      </c>
      <c r="P24" s="2">
        <v>500</v>
      </c>
      <c r="R24" s="23">
        <v>109</v>
      </c>
      <c r="S24" s="17">
        <f>S23+Tabla315[[#This Row],[Incremento]]</f>
        <v>118236.597211125</v>
      </c>
      <c r="T24" s="18">
        <v>500</v>
      </c>
      <c r="V24" s="12">
        <v>109</v>
      </c>
      <c r="W24" s="2">
        <f>W23+Tabla315[[#This Row],[Incremento]]</f>
        <v>231973.19442225</v>
      </c>
      <c r="X24" s="2">
        <v>500</v>
      </c>
      <c r="Z24" s="12">
        <v>109</v>
      </c>
      <c r="AA24" s="2">
        <f>AA23+Tabla315[[#This Row],[Incremento]]</f>
        <v>260407.34372503124</v>
      </c>
      <c r="AB24" s="2">
        <v>500</v>
      </c>
      <c r="AD24" s="12">
        <v>109</v>
      </c>
      <c r="AE24" s="2">
        <f>AE23+Tabla315[[#This Row],[Incremento]]</f>
        <v>118236.597211125</v>
      </c>
      <c r="AF24" s="2">
        <v>500</v>
      </c>
    </row>
    <row r="25" spans="2:32" x14ac:dyDescent="0.2">
      <c r="B25" s="12">
        <v>110</v>
      </c>
      <c r="C25" s="2">
        <f>C24+Tabla315[[#This Row],[Incremento]]</f>
        <v>218256.1197708594</v>
      </c>
      <c r="D25" s="2">
        <v>500</v>
      </c>
      <c r="F25" s="12">
        <v>110</v>
      </c>
      <c r="G25" s="2">
        <f>G24+Tabla315[[#This Row],[Incremento]]</f>
        <v>90302.447908343762</v>
      </c>
      <c r="H25" s="2">
        <v>500</v>
      </c>
      <c r="J25" s="12">
        <v>110</v>
      </c>
      <c r="K25" s="2">
        <f>K24+Tabla315[[#This Row],[Incremento]]</f>
        <v>83193.910582648445</v>
      </c>
      <c r="L25" s="2">
        <v>500</v>
      </c>
      <c r="N25" s="12">
        <v>110</v>
      </c>
      <c r="O25" s="2">
        <f>O24+Tabla315[[#This Row],[Incremento]]</f>
        <v>786939.10582648439</v>
      </c>
      <c r="P25" s="2">
        <v>500</v>
      </c>
      <c r="R25" s="24">
        <v>110</v>
      </c>
      <c r="S25" s="19">
        <f>S24+Tabla315[[#This Row],[Incremento]]</f>
        <v>118736.597211125</v>
      </c>
      <c r="T25" s="20">
        <v>500</v>
      </c>
      <c r="V25" s="12">
        <v>110</v>
      </c>
      <c r="W25" s="2">
        <f>W24+Tabla315[[#This Row],[Incremento]]</f>
        <v>232473.19442225</v>
      </c>
      <c r="X25" s="2">
        <v>500</v>
      </c>
      <c r="Z25" s="12">
        <v>110</v>
      </c>
      <c r="AA25" s="2">
        <f>AA24+Tabla315[[#This Row],[Incremento]]</f>
        <v>260907.34372503124</v>
      </c>
      <c r="AB25" s="2">
        <v>500</v>
      </c>
      <c r="AD25" s="12">
        <v>110</v>
      </c>
      <c r="AE25" s="2">
        <f>AE24+Tabla315[[#This Row],[Incremento]]</f>
        <v>118736.597211125</v>
      </c>
      <c r="AF25" s="2">
        <v>500</v>
      </c>
    </row>
    <row r="26" spans="2:32" x14ac:dyDescent="0.2">
      <c r="B26" s="12">
        <v>111</v>
      </c>
      <c r="C26" s="2">
        <f>C25+Tabla315[[#This Row],[Incremento]]</f>
        <v>218756.1197708594</v>
      </c>
      <c r="D26" s="2">
        <v>500</v>
      </c>
      <c r="F26" s="12">
        <v>111</v>
      </c>
      <c r="G26" s="2">
        <f>G25+Tabla315[[#This Row],[Incremento]]</f>
        <v>90802.447908343762</v>
      </c>
      <c r="H26" s="2">
        <v>500</v>
      </c>
      <c r="J26" s="12">
        <v>111</v>
      </c>
      <c r="K26" s="2">
        <f>K25+Tabla315[[#This Row],[Incremento]]</f>
        <v>83693.910582648445</v>
      </c>
      <c r="L26" s="2">
        <v>500</v>
      </c>
      <c r="N26" s="12">
        <v>111</v>
      </c>
      <c r="O26" s="2">
        <f>O25+Tabla315[[#This Row],[Incremento]]</f>
        <v>787439.10582648439</v>
      </c>
      <c r="P26" s="2">
        <v>500</v>
      </c>
      <c r="R26" s="23">
        <v>111</v>
      </c>
      <c r="S26" s="17">
        <f>S25+Tabla315[[#This Row],[Incremento]]</f>
        <v>119236.597211125</v>
      </c>
      <c r="T26" s="18">
        <v>500</v>
      </c>
      <c r="V26" s="12">
        <v>111</v>
      </c>
      <c r="W26" s="2">
        <f>W25+Tabla315[[#This Row],[Incremento]]</f>
        <v>232973.19442225</v>
      </c>
      <c r="X26" s="2">
        <v>500</v>
      </c>
      <c r="Z26" s="12">
        <v>111</v>
      </c>
      <c r="AA26" s="2">
        <f>AA25+Tabla315[[#This Row],[Incremento]]</f>
        <v>261407.34372503124</v>
      </c>
      <c r="AB26" s="2">
        <v>500</v>
      </c>
      <c r="AD26" s="12">
        <v>111</v>
      </c>
      <c r="AE26" s="2">
        <f>AE25+Tabla315[[#This Row],[Incremento]]</f>
        <v>119236.597211125</v>
      </c>
      <c r="AF26" s="2">
        <v>500</v>
      </c>
    </row>
    <row r="27" spans="2:32" x14ac:dyDescent="0.2">
      <c r="B27" s="12">
        <v>112</v>
      </c>
      <c r="C27" s="2">
        <f>C26+Tabla315[[#This Row],[Incremento]]</f>
        <v>219256.1197708594</v>
      </c>
      <c r="D27" s="2">
        <v>500</v>
      </c>
      <c r="F27" s="12">
        <v>112</v>
      </c>
      <c r="G27" s="2">
        <f>G26+Tabla315[[#This Row],[Incremento]]</f>
        <v>91302.447908343762</v>
      </c>
      <c r="H27" s="2">
        <v>500</v>
      </c>
      <c r="J27" s="12">
        <v>112</v>
      </c>
      <c r="K27" s="2">
        <f>K26+Tabla315[[#This Row],[Incremento]]</f>
        <v>84193.910582648445</v>
      </c>
      <c r="L27" s="2">
        <v>500</v>
      </c>
      <c r="N27" s="12">
        <v>112</v>
      </c>
      <c r="O27" s="2">
        <f>O26+Tabla315[[#This Row],[Incremento]]</f>
        <v>787939.10582648439</v>
      </c>
      <c r="P27" s="2">
        <v>500</v>
      </c>
      <c r="R27" s="24">
        <v>112</v>
      </c>
      <c r="S27" s="19">
        <f>S26+Tabla315[[#This Row],[Incremento]]</f>
        <v>119736.597211125</v>
      </c>
      <c r="T27" s="20">
        <v>500</v>
      </c>
      <c r="V27" s="12">
        <v>112</v>
      </c>
      <c r="W27" s="2">
        <f>W26+Tabla315[[#This Row],[Incremento]]</f>
        <v>233473.19442225</v>
      </c>
      <c r="X27" s="2">
        <v>500</v>
      </c>
      <c r="Z27" s="12">
        <v>112</v>
      </c>
      <c r="AA27" s="2">
        <f>AA26+Tabla315[[#This Row],[Incremento]]</f>
        <v>261907.34372503124</v>
      </c>
      <c r="AB27" s="2">
        <v>500</v>
      </c>
      <c r="AD27" s="12">
        <v>112</v>
      </c>
      <c r="AE27" s="2">
        <f>AE26+Tabla315[[#This Row],[Incremento]]</f>
        <v>119736.597211125</v>
      </c>
      <c r="AF27" s="2">
        <v>500</v>
      </c>
    </row>
    <row r="28" spans="2:32" x14ac:dyDescent="0.2">
      <c r="B28" s="12">
        <v>113</v>
      </c>
      <c r="C28" s="2">
        <f>C27+Tabla315[[#This Row],[Incremento]]</f>
        <v>219756.1197708594</v>
      </c>
      <c r="D28" s="2">
        <v>500</v>
      </c>
      <c r="F28" s="12">
        <v>113</v>
      </c>
      <c r="G28" s="2">
        <f>G27+Tabla315[[#This Row],[Incremento]]</f>
        <v>91802.447908343762</v>
      </c>
      <c r="H28" s="2">
        <v>500</v>
      </c>
      <c r="J28" s="12">
        <v>113</v>
      </c>
      <c r="K28" s="2">
        <f>K27+Tabla315[[#This Row],[Incremento]]</f>
        <v>84693.910582648445</v>
      </c>
      <c r="L28" s="2">
        <v>500</v>
      </c>
      <c r="N28" s="12">
        <v>113</v>
      </c>
      <c r="O28" s="2">
        <f>O27+Tabla315[[#This Row],[Incremento]]</f>
        <v>788439.10582648439</v>
      </c>
      <c r="P28" s="2">
        <v>500</v>
      </c>
      <c r="R28" s="23">
        <v>113</v>
      </c>
      <c r="S28" s="17">
        <f>S27+Tabla315[[#This Row],[Incremento]]</f>
        <v>120236.597211125</v>
      </c>
      <c r="T28" s="18">
        <v>500</v>
      </c>
      <c r="V28" s="12">
        <v>113</v>
      </c>
      <c r="W28" s="2">
        <f>W27+Tabla315[[#This Row],[Incremento]]</f>
        <v>233973.19442225</v>
      </c>
      <c r="X28" s="2">
        <v>500</v>
      </c>
      <c r="Z28" s="12">
        <v>113</v>
      </c>
      <c r="AA28" s="2">
        <f>AA27+Tabla315[[#This Row],[Incremento]]</f>
        <v>262407.34372503124</v>
      </c>
      <c r="AB28" s="2">
        <v>500</v>
      </c>
      <c r="AD28" s="12">
        <v>113</v>
      </c>
      <c r="AE28" s="2">
        <f>AE27+Tabla315[[#This Row],[Incremento]]</f>
        <v>120236.597211125</v>
      </c>
      <c r="AF28" s="2">
        <v>500</v>
      </c>
    </row>
    <row r="29" spans="2:32" x14ac:dyDescent="0.2">
      <c r="B29" s="12">
        <v>114</v>
      </c>
      <c r="C29" s="2">
        <f>C28+Tabla315[[#This Row],[Incremento]]</f>
        <v>220256.1197708594</v>
      </c>
      <c r="D29" s="2">
        <v>500</v>
      </c>
      <c r="F29" s="12">
        <v>114</v>
      </c>
      <c r="G29" s="2">
        <f>G28+Tabla315[[#This Row],[Incremento]]</f>
        <v>92302.447908343762</v>
      </c>
      <c r="H29" s="2">
        <v>500</v>
      </c>
      <c r="J29" s="12">
        <v>114</v>
      </c>
      <c r="K29" s="2">
        <f>K28+Tabla315[[#This Row],[Incremento]]</f>
        <v>85193.910582648445</v>
      </c>
      <c r="L29" s="2">
        <v>500</v>
      </c>
      <c r="N29" s="12">
        <v>114</v>
      </c>
      <c r="O29" s="2">
        <f>O28+Tabla315[[#This Row],[Incremento]]</f>
        <v>788939.10582648439</v>
      </c>
      <c r="P29" s="2">
        <v>500</v>
      </c>
      <c r="R29" s="24">
        <v>114</v>
      </c>
      <c r="S29" s="19">
        <f>S28+Tabla315[[#This Row],[Incremento]]</f>
        <v>120736.597211125</v>
      </c>
      <c r="T29" s="20">
        <v>500</v>
      </c>
      <c r="V29" s="12">
        <v>114</v>
      </c>
      <c r="W29" s="2">
        <f>W28+Tabla315[[#This Row],[Incremento]]</f>
        <v>234473.19442225</v>
      </c>
      <c r="X29" s="2">
        <v>500</v>
      </c>
      <c r="Z29" s="12">
        <v>114</v>
      </c>
      <c r="AA29" s="2">
        <f>AA28+Tabla315[[#This Row],[Incremento]]</f>
        <v>262907.34372503124</v>
      </c>
      <c r="AB29" s="2">
        <v>500</v>
      </c>
      <c r="AD29" s="12">
        <v>114</v>
      </c>
      <c r="AE29" s="2">
        <f>AE28+Tabla315[[#This Row],[Incremento]]</f>
        <v>120736.597211125</v>
      </c>
      <c r="AF29" s="2">
        <v>500</v>
      </c>
    </row>
    <row r="30" spans="2:32" x14ac:dyDescent="0.2">
      <c r="B30" s="12">
        <v>115</v>
      </c>
      <c r="C30" s="2">
        <f>C29+Tabla315[[#This Row],[Incremento]]</f>
        <v>220756.1197708594</v>
      </c>
      <c r="D30" s="2">
        <v>500</v>
      </c>
      <c r="F30" s="12">
        <v>115</v>
      </c>
      <c r="G30" s="2">
        <f>G29+Tabla315[[#This Row],[Incremento]]</f>
        <v>92802.447908343762</v>
      </c>
      <c r="H30" s="2">
        <v>500</v>
      </c>
      <c r="J30" s="12">
        <v>115</v>
      </c>
      <c r="K30" s="2">
        <f>K29+Tabla315[[#This Row],[Incremento]]</f>
        <v>85693.910582648445</v>
      </c>
      <c r="L30" s="2">
        <v>500</v>
      </c>
      <c r="M30" s="3"/>
      <c r="N30" s="12">
        <v>115</v>
      </c>
      <c r="O30" s="2">
        <f>O29+Tabla315[[#This Row],[Incremento]]</f>
        <v>789439.10582648439</v>
      </c>
      <c r="P30" s="2">
        <v>500</v>
      </c>
      <c r="Q30" s="3"/>
      <c r="R30" s="23">
        <v>115</v>
      </c>
      <c r="S30" s="17">
        <f>S29+Tabla315[[#This Row],[Incremento]]</f>
        <v>121236.597211125</v>
      </c>
      <c r="T30" s="18">
        <v>500</v>
      </c>
      <c r="V30" s="12">
        <v>115</v>
      </c>
      <c r="W30" s="2">
        <f>W29+Tabla315[[#This Row],[Incremento]]</f>
        <v>234973.19442225</v>
      </c>
      <c r="X30" s="2">
        <v>500</v>
      </c>
      <c r="Z30" s="12">
        <v>115</v>
      </c>
      <c r="AA30" s="2">
        <f>AA29+Tabla315[[#This Row],[Incremento]]</f>
        <v>263407.34372503124</v>
      </c>
      <c r="AB30" s="2">
        <v>500</v>
      </c>
      <c r="AD30" s="12">
        <v>115</v>
      </c>
      <c r="AE30" s="2">
        <f>AE29+Tabla315[[#This Row],[Incremento]]</f>
        <v>121236.597211125</v>
      </c>
      <c r="AF30" s="2">
        <v>500</v>
      </c>
    </row>
    <row r="31" spans="2:32" x14ac:dyDescent="0.2">
      <c r="B31" s="12">
        <v>116</v>
      </c>
      <c r="C31" s="2">
        <f>C30+Tabla315[[#This Row],[Incremento]]</f>
        <v>221256.1197708594</v>
      </c>
      <c r="D31" s="2">
        <v>500</v>
      </c>
      <c r="F31" s="12">
        <v>116</v>
      </c>
      <c r="G31" s="2">
        <f>G30+Tabla315[[#This Row],[Incremento]]</f>
        <v>93302.447908343762</v>
      </c>
      <c r="H31" s="2">
        <v>500</v>
      </c>
      <c r="J31" s="12">
        <v>116</v>
      </c>
      <c r="K31" s="2">
        <f>K30+Tabla315[[#This Row],[Incremento]]</f>
        <v>86193.910582648445</v>
      </c>
      <c r="L31" s="2">
        <v>500</v>
      </c>
      <c r="M31" s="3"/>
      <c r="N31" s="12">
        <v>116</v>
      </c>
      <c r="O31" s="2">
        <f>O30+Tabla315[[#This Row],[Incremento]]</f>
        <v>789939.10582648439</v>
      </c>
      <c r="P31" s="2">
        <v>500</v>
      </c>
      <c r="Q31" s="3"/>
      <c r="R31" s="24">
        <v>116</v>
      </c>
      <c r="S31" s="19">
        <f>S30+Tabla315[[#This Row],[Incremento]]</f>
        <v>121736.597211125</v>
      </c>
      <c r="T31" s="20">
        <v>500</v>
      </c>
      <c r="V31" s="12">
        <v>116</v>
      </c>
      <c r="W31" s="2">
        <f>W30+Tabla315[[#This Row],[Incremento]]</f>
        <v>235473.19442225</v>
      </c>
      <c r="X31" s="2">
        <v>500</v>
      </c>
      <c r="Z31" s="12">
        <v>116</v>
      </c>
      <c r="AA31" s="2">
        <f>AA30+Tabla315[[#This Row],[Incremento]]</f>
        <v>263907.34372503124</v>
      </c>
      <c r="AB31" s="2">
        <v>500</v>
      </c>
      <c r="AD31" s="12">
        <v>116</v>
      </c>
      <c r="AE31" s="2">
        <f>AE30+Tabla315[[#This Row],[Incremento]]</f>
        <v>121736.597211125</v>
      </c>
      <c r="AF31" s="2">
        <v>500</v>
      </c>
    </row>
    <row r="32" spans="2:32" x14ac:dyDescent="0.2">
      <c r="B32" s="12">
        <v>117</v>
      </c>
      <c r="C32" s="2">
        <f>C31+Tabla315[[#This Row],[Incremento]]</f>
        <v>221756.1197708594</v>
      </c>
      <c r="D32" s="2">
        <v>500</v>
      </c>
      <c r="F32" s="12">
        <v>117</v>
      </c>
      <c r="G32" s="2">
        <f>G31+Tabla315[[#This Row],[Incremento]]</f>
        <v>93802.447908343762</v>
      </c>
      <c r="H32" s="2">
        <v>500</v>
      </c>
      <c r="J32" s="12">
        <v>117</v>
      </c>
      <c r="K32" s="2">
        <f>K31+Tabla315[[#This Row],[Incremento]]</f>
        <v>86693.910582648445</v>
      </c>
      <c r="L32" s="2">
        <v>500</v>
      </c>
      <c r="N32" s="12">
        <v>117</v>
      </c>
      <c r="O32" s="2">
        <f>O31+Tabla315[[#This Row],[Incremento]]</f>
        <v>790439.10582648439</v>
      </c>
      <c r="P32" s="2">
        <v>500</v>
      </c>
      <c r="R32" s="23">
        <v>117</v>
      </c>
      <c r="S32" s="17">
        <f>S31+Tabla315[[#This Row],[Incremento]]</f>
        <v>122236.597211125</v>
      </c>
      <c r="T32" s="18">
        <v>500</v>
      </c>
      <c r="V32" s="12">
        <v>117</v>
      </c>
      <c r="W32" s="2">
        <f>W31+Tabla315[[#This Row],[Incremento]]</f>
        <v>235973.19442225</v>
      </c>
      <c r="X32" s="2">
        <v>500</v>
      </c>
      <c r="Z32" s="12">
        <v>117</v>
      </c>
      <c r="AA32" s="2">
        <f>AA31+Tabla315[[#This Row],[Incremento]]</f>
        <v>264407.34372503124</v>
      </c>
      <c r="AB32" s="2">
        <v>500</v>
      </c>
      <c r="AD32" s="12">
        <v>117</v>
      </c>
      <c r="AE32" s="2">
        <f>AE31+Tabla315[[#This Row],[Incremento]]</f>
        <v>122236.597211125</v>
      </c>
      <c r="AF32" s="2">
        <v>500</v>
      </c>
    </row>
    <row r="33" spans="2:32" x14ac:dyDescent="0.2">
      <c r="B33" s="12">
        <v>118</v>
      </c>
      <c r="C33" s="2">
        <f>C32+Tabla315[[#This Row],[Incremento]]</f>
        <v>222256.1197708594</v>
      </c>
      <c r="D33" s="2">
        <v>500</v>
      </c>
      <c r="F33" s="12">
        <v>118</v>
      </c>
      <c r="G33" s="2">
        <f>G32+Tabla315[[#This Row],[Incremento]]</f>
        <v>94302.447908343762</v>
      </c>
      <c r="H33" s="2">
        <v>500</v>
      </c>
      <c r="J33" s="12">
        <v>118</v>
      </c>
      <c r="K33" s="2">
        <f>K32+Tabla315[[#This Row],[Incremento]]</f>
        <v>87193.910582648445</v>
      </c>
      <c r="L33" s="2">
        <v>500</v>
      </c>
      <c r="N33" s="12">
        <v>118</v>
      </c>
      <c r="O33" s="2">
        <f>O32+Tabla315[[#This Row],[Incremento]]</f>
        <v>790939.10582648439</v>
      </c>
      <c r="P33" s="2">
        <v>500</v>
      </c>
      <c r="R33" s="24">
        <v>118</v>
      </c>
      <c r="S33" s="19">
        <f>S32+Tabla315[[#This Row],[Incremento]]</f>
        <v>122736.597211125</v>
      </c>
      <c r="T33" s="20">
        <v>500</v>
      </c>
      <c r="V33" s="12">
        <v>118</v>
      </c>
      <c r="W33" s="2">
        <f>W32+Tabla315[[#This Row],[Incremento]]</f>
        <v>236473.19442225</v>
      </c>
      <c r="X33" s="2">
        <v>500</v>
      </c>
      <c r="Z33" s="12">
        <v>118</v>
      </c>
      <c r="AA33" s="2">
        <f>AA32+Tabla315[[#This Row],[Incremento]]</f>
        <v>264907.34372503124</v>
      </c>
      <c r="AB33" s="2">
        <v>500</v>
      </c>
      <c r="AD33" s="12">
        <v>118</v>
      </c>
      <c r="AE33" s="2">
        <f>AE32+Tabla315[[#This Row],[Incremento]]</f>
        <v>122736.597211125</v>
      </c>
      <c r="AF33" s="2">
        <v>500</v>
      </c>
    </row>
    <row r="34" spans="2:32" x14ac:dyDescent="0.2">
      <c r="B34" s="12">
        <v>119</v>
      </c>
      <c r="C34" s="2">
        <f>C33+Tabla315[[#This Row],[Incremento]]</f>
        <v>222756.1197708594</v>
      </c>
      <c r="D34" s="2">
        <v>500</v>
      </c>
      <c r="F34" s="12">
        <v>119</v>
      </c>
      <c r="G34" s="2">
        <f>G33+Tabla315[[#This Row],[Incremento]]</f>
        <v>94802.447908343762</v>
      </c>
      <c r="H34" s="2">
        <v>500</v>
      </c>
      <c r="J34" s="12">
        <v>119</v>
      </c>
      <c r="K34" s="2">
        <f>K33+Tabla315[[#This Row],[Incremento]]</f>
        <v>87693.910582648445</v>
      </c>
      <c r="L34" s="2">
        <v>500</v>
      </c>
      <c r="N34" s="12">
        <v>119</v>
      </c>
      <c r="O34" s="2">
        <f>O33+Tabla315[[#This Row],[Incremento]]</f>
        <v>791439.10582648439</v>
      </c>
      <c r="P34" s="2">
        <v>500</v>
      </c>
      <c r="R34" s="23">
        <v>119</v>
      </c>
      <c r="S34" s="17">
        <f>S33+Tabla315[[#This Row],[Incremento]]</f>
        <v>123236.597211125</v>
      </c>
      <c r="T34" s="18">
        <v>500</v>
      </c>
      <c r="V34" s="12">
        <v>119</v>
      </c>
      <c r="W34" s="2">
        <f>W33+Tabla315[[#This Row],[Incremento]]</f>
        <v>236973.19442225</v>
      </c>
      <c r="X34" s="2">
        <v>500</v>
      </c>
      <c r="Z34" s="12">
        <v>119</v>
      </c>
      <c r="AA34" s="2">
        <f>AA33+Tabla315[[#This Row],[Incremento]]</f>
        <v>265407.34372503124</v>
      </c>
      <c r="AB34" s="2">
        <v>500</v>
      </c>
      <c r="AD34" s="12">
        <v>119</v>
      </c>
      <c r="AE34" s="2">
        <f>AE33+Tabla315[[#This Row],[Incremento]]</f>
        <v>123236.597211125</v>
      </c>
      <c r="AF34" s="2">
        <v>500</v>
      </c>
    </row>
    <row r="35" spans="2:32" x14ac:dyDescent="0.2">
      <c r="B35" s="12">
        <v>120</v>
      </c>
      <c r="C35" s="2">
        <f>C34+Tabla315[[#This Row],[Incremento]]</f>
        <v>223256.1197708594</v>
      </c>
      <c r="D35" s="2">
        <v>500</v>
      </c>
      <c r="F35" s="12">
        <v>120</v>
      </c>
      <c r="G35" s="2">
        <f>G34+Tabla315[[#This Row],[Incremento]]</f>
        <v>95302.447908343762</v>
      </c>
      <c r="H35" s="2">
        <v>500</v>
      </c>
      <c r="J35" s="12">
        <v>120</v>
      </c>
      <c r="K35" s="2">
        <f>K34+Tabla315[[#This Row],[Incremento]]</f>
        <v>88193.910582648445</v>
      </c>
      <c r="L35" s="2">
        <v>500</v>
      </c>
      <c r="N35" s="12">
        <v>120</v>
      </c>
      <c r="O35" s="2">
        <f>O34+Tabla315[[#This Row],[Incremento]]</f>
        <v>791939.10582648439</v>
      </c>
      <c r="P35" s="2">
        <v>500</v>
      </c>
      <c r="R35" s="24">
        <v>120</v>
      </c>
      <c r="S35" s="19">
        <f>S34+Tabla315[[#This Row],[Incremento]]</f>
        <v>123736.597211125</v>
      </c>
      <c r="T35" s="20">
        <v>500</v>
      </c>
      <c r="V35" s="12">
        <v>120</v>
      </c>
      <c r="W35" s="2">
        <f>W34+Tabla315[[#This Row],[Incremento]]</f>
        <v>237473.19442225</v>
      </c>
      <c r="X35" s="2">
        <v>500</v>
      </c>
      <c r="Z35" s="12">
        <v>120</v>
      </c>
      <c r="AA35" s="2">
        <f>AA34+Tabla315[[#This Row],[Incremento]]</f>
        <v>265907.34372503124</v>
      </c>
      <c r="AB35" s="2">
        <v>500</v>
      </c>
      <c r="AD35" s="12">
        <v>120</v>
      </c>
      <c r="AE35" s="2">
        <f>AE34+Tabla315[[#This Row],[Incremento]]</f>
        <v>123736.597211125</v>
      </c>
      <c r="AF35" s="2">
        <v>500</v>
      </c>
    </row>
    <row r="36" spans="2:32" x14ac:dyDescent="0.2">
      <c r="B36" s="12">
        <v>121</v>
      </c>
      <c r="C36" s="2">
        <f>C35+Tabla315[[#This Row],[Incremento]]</f>
        <v>223756.1197708594</v>
      </c>
      <c r="D36" s="2">
        <v>500</v>
      </c>
      <c r="F36" s="12">
        <v>121</v>
      </c>
      <c r="G36" s="2">
        <f>G35+Tabla315[[#This Row],[Incremento]]</f>
        <v>95802.447908343762</v>
      </c>
      <c r="H36" s="2">
        <v>500</v>
      </c>
      <c r="J36" s="12">
        <v>121</v>
      </c>
      <c r="K36" s="2">
        <f>K35+Tabla315[[#This Row],[Incremento]]</f>
        <v>88693.910582648445</v>
      </c>
      <c r="L36" s="2">
        <v>500</v>
      </c>
      <c r="N36" s="12">
        <v>121</v>
      </c>
      <c r="O36" s="2">
        <f>O35+Tabla315[[#This Row],[Incremento]]</f>
        <v>792439.10582648439</v>
      </c>
      <c r="P36" s="2">
        <v>500</v>
      </c>
      <c r="R36" s="23">
        <v>121</v>
      </c>
      <c r="S36" s="17">
        <f>S35+Tabla315[[#This Row],[Incremento]]</f>
        <v>124236.597211125</v>
      </c>
      <c r="T36" s="18">
        <v>500</v>
      </c>
      <c r="V36" s="12">
        <v>121</v>
      </c>
      <c r="W36" s="2">
        <f>W35+Tabla315[[#This Row],[Incremento]]</f>
        <v>237973.19442225</v>
      </c>
      <c r="X36" s="2">
        <v>500</v>
      </c>
      <c r="Z36" s="12">
        <v>121</v>
      </c>
      <c r="AA36" s="2">
        <f>AA35+Tabla315[[#This Row],[Incremento]]</f>
        <v>266407.34372503124</v>
      </c>
      <c r="AB36" s="2">
        <v>500</v>
      </c>
      <c r="AD36" s="12">
        <v>121</v>
      </c>
      <c r="AE36" s="2">
        <f>AE35+Tabla315[[#This Row],[Incremento]]</f>
        <v>124236.597211125</v>
      </c>
      <c r="AF36" s="2">
        <v>500</v>
      </c>
    </row>
    <row r="37" spans="2:32" x14ac:dyDescent="0.2">
      <c r="B37" s="12">
        <v>122</v>
      </c>
      <c r="C37" s="2">
        <f>C36+Tabla315[[#This Row],[Incremento]]</f>
        <v>224256.1197708594</v>
      </c>
      <c r="D37" s="2">
        <v>500</v>
      </c>
      <c r="F37" s="12">
        <v>122</v>
      </c>
      <c r="G37" s="2">
        <f>G36+Tabla315[[#This Row],[Incremento]]</f>
        <v>96302.447908343762</v>
      </c>
      <c r="H37" s="2">
        <v>500</v>
      </c>
      <c r="J37" s="12">
        <v>122</v>
      </c>
      <c r="K37" s="2">
        <f>K36+Tabla315[[#This Row],[Incremento]]</f>
        <v>89193.910582648445</v>
      </c>
      <c r="L37" s="2">
        <v>500</v>
      </c>
      <c r="M37" s="3"/>
      <c r="N37" s="12">
        <v>122</v>
      </c>
      <c r="O37" s="2">
        <f>O36+Tabla315[[#This Row],[Incremento]]</f>
        <v>792939.10582648439</v>
      </c>
      <c r="P37" s="2">
        <v>500</v>
      </c>
      <c r="R37" s="24">
        <v>122</v>
      </c>
      <c r="S37" s="19">
        <f>S36+Tabla315[[#This Row],[Incremento]]</f>
        <v>124736.597211125</v>
      </c>
      <c r="T37" s="20">
        <v>500</v>
      </c>
      <c r="V37" s="12">
        <v>122</v>
      </c>
      <c r="W37" s="2">
        <f>W36+Tabla315[[#This Row],[Incremento]]</f>
        <v>238473.19442225</v>
      </c>
      <c r="X37" s="2">
        <v>500</v>
      </c>
      <c r="Z37" s="12">
        <v>122</v>
      </c>
      <c r="AA37" s="2">
        <f>AA36+Tabla315[[#This Row],[Incremento]]</f>
        <v>266907.34372503124</v>
      </c>
      <c r="AB37" s="2">
        <v>500</v>
      </c>
      <c r="AD37" s="12">
        <v>122</v>
      </c>
      <c r="AE37" s="2">
        <f>AE36+Tabla315[[#This Row],[Incremento]]</f>
        <v>124736.597211125</v>
      </c>
      <c r="AF37" s="2">
        <v>500</v>
      </c>
    </row>
    <row r="38" spans="2:32" x14ac:dyDescent="0.2">
      <c r="B38" s="12">
        <v>123</v>
      </c>
      <c r="C38" s="2">
        <f>C37+Tabla315[[#This Row],[Incremento]]</f>
        <v>224756.1197708594</v>
      </c>
      <c r="D38" s="2">
        <v>500</v>
      </c>
      <c r="F38" s="12">
        <v>123</v>
      </c>
      <c r="G38" s="2">
        <f>G37+Tabla315[[#This Row],[Incremento]]</f>
        <v>96802.447908343762</v>
      </c>
      <c r="H38" s="2">
        <v>500</v>
      </c>
      <c r="J38" s="12">
        <v>123</v>
      </c>
      <c r="K38" s="2">
        <f>K37+Tabla315[[#This Row],[Incremento]]</f>
        <v>89693.910582648445</v>
      </c>
      <c r="L38" s="2">
        <v>500</v>
      </c>
      <c r="M38" s="3"/>
      <c r="N38" s="12">
        <v>123</v>
      </c>
      <c r="O38" s="2">
        <f>O37+Tabla315[[#This Row],[Incremento]]</f>
        <v>793439.10582648439</v>
      </c>
      <c r="P38" s="2">
        <v>500</v>
      </c>
      <c r="R38" s="23">
        <v>123</v>
      </c>
      <c r="S38" s="17">
        <f>S37+Tabla315[[#This Row],[Incremento]]</f>
        <v>125236.597211125</v>
      </c>
      <c r="T38" s="18">
        <v>500</v>
      </c>
      <c r="V38" s="12">
        <v>123</v>
      </c>
      <c r="W38" s="2">
        <f>W37+Tabla315[[#This Row],[Incremento]]</f>
        <v>238973.19442225</v>
      </c>
      <c r="X38" s="2">
        <v>500</v>
      </c>
      <c r="Z38" s="12">
        <v>123</v>
      </c>
      <c r="AA38" s="2">
        <f>AA37+Tabla315[[#This Row],[Incremento]]</f>
        <v>267407.34372503124</v>
      </c>
      <c r="AB38" s="2">
        <v>500</v>
      </c>
      <c r="AD38" s="12">
        <v>123</v>
      </c>
      <c r="AE38" s="2">
        <f>AE37+Tabla315[[#This Row],[Incremento]]</f>
        <v>125236.597211125</v>
      </c>
      <c r="AF38" s="2">
        <v>500</v>
      </c>
    </row>
    <row r="39" spans="2:32" x14ac:dyDescent="0.2">
      <c r="B39" s="12">
        <v>124</v>
      </c>
      <c r="C39" s="2">
        <f>C38+Tabla315[[#This Row],[Incremento]]</f>
        <v>225256.1197708594</v>
      </c>
      <c r="D39" s="2">
        <v>500</v>
      </c>
      <c r="F39" s="12">
        <v>124</v>
      </c>
      <c r="G39" s="2">
        <f>G38+Tabla315[[#This Row],[Incremento]]</f>
        <v>97302.447908343762</v>
      </c>
      <c r="H39" s="2">
        <v>500</v>
      </c>
      <c r="J39" s="12">
        <v>124</v>
      </c>
      <c r="K39" s="2">
        <f>K38+Tabla315[[#This Row],[Incremento]]</f>
        <v>90193.910582648445</v>
      </c>
      <c r="L39" s="2">
        <v>500</v>
      </c>
      <c r="M39" s="3"/>
      <c r="N39" s="12">
        <v>124</v>
      </c>
      <c r="O39" s="2">
        <f>O38+Tabla315[[#This Row],[Incremento]]</f>
        <v>793939.10582648439</v>
      </c>
      <c r="P39" s="2">
        <v>500</v>
      </c>
      <c r="R39" s="24">
        <v>124</v>
      </c>
      <c r="S39" s="19">
        <f>S38+Tabla315[[#This Row],[Incremento]]</f>
        <v>125736.597211125</v>
      </c>
      <c r="T39" s="20">
        <v>500</v>
      </c>
      <c r="V39" s="12">
        <v>124</v>
      </c>
      <c r="W39" s="2">
        <f>W38+Tabla315[[#This Row],[Incremento]]</f>
        <v>239473.19442225</v>
      </c>
      <c r="X39" s="2">
        <v>500</v>
      </c>
      <c r="Z39" s="12">
        <v>124</v>
      </c>
      <c r="AA39" s="2">
        <f>AA38+Tabla315[[#This Row],[Incremento]]</f>
        <v>267907.34372503124</v>
      </c>
      <c r="AB39" s="2">
        <v>500</v>
      </c>
      <c r="AD39" s="12">
        <v>124</v>
      </c>
      <c r="AE39" s="2">
        <f>AE38+Tabla315[[#This Row],[Incremento]]</f>
        <v>125736.597211125</v>
      </c>
      <c r="AF39" s="2">
        <v>500</v>
      </c>
    </row>
    <row r="40" spans="2:32" x14ac:dyDescent="0.2">
      <c r="B40" s="12">
        <v>125</v>
      </c>
      <c r="C40" s="2">
        <f>C39+Tabla315[[#This Row],[Incremento]]</f>
        <v>225756.1197708594</v>
      </c>
      <c r="D40" s="2">
        <v>500</v>
      </c>
      <c r="F40" s="12">
        <v>125</v>
      </c>
      <c r="G40" s="2">
        <f>G39+Tabla315[[#This Row],[Incremento]]</f>
        <v>97802.447908343762</v>
      </c>
      <c r="H40" s="2">
        <v>500</v>
      </c>
      <c r="J40" s="12">
        <v>125</v>
      </c>
      <c r="K40" s="2">
        <f>K39+Tabla315[[#This Row],[Incremento]]</f>
        <v>90693.910582648445</v>
      </c>
      <c r="L40" s="2">
        <v>500</v>
      </c>
      <c r="M40" s="3"/>
      <c r="N40" s="12">
        <v>125</v>
      </c>
      <c r="O40" s="2">
        <f>O39+Tabla315[[#This Row],[Incremento]]</f>
        <v>794439.10582648439</v>
      </c>
      <c r="P40" s="2">
        <v>500</v>
      </c>
      <c r="R40" s="23">
        <v>125</v>
      </c>
      <c r="S40" s="17">
        <f>S39+Tabla315[[#This Row],[Incremento]]</f>
        <v>126236.597211125</v>
      </c>
      <c r="T40" s="18">
        <v>500</v>
      </c>
      <c r="V40" s="12">
        <v>125</v>
      </c>
      <c r="W40" s="2">
        <f>W39+Tabla315[[#This Row],[Incremento]]</f>
        <v>239973.19442225</v>
      </c>
      <c r="X40" s="2">
        <v>500</v>
      </c>
      <c r="Z40" s="12">
        <v>125</v>
      </c>
      <c r="AA40" s="2">
        <f>AA39+Tabla315[[#This Row],[Incremento]]</f>
        <v>268407.34372503124</v>
      </c>
      <c r="AB40" s="2">
        <v>500</v>
      </c>
      <c r="AD40" s="12">
        <v>125</v>
      </c>
      <c r="AE40" s="2">
        <f>AE39+Tabla315[[#This Row],[Incremento]]</f>
        <v>126236.597211125</v>
      </c>
      <c r="AF40" s="2">
        <v>500</v>
      </c>
    </row>
    <row r="41" spans="2:32" x14ac:dyDescent="0.2">
      <c r="B41" s="12">
        <v>126</v>
      </c>
      <c r="C41" s="2">
        <f>C40+Tabla315[[#This Row],[Incremento]]</f>
        <v>226256.1197708594</v>
      </c>
      <c r="D41" s="2">
        <v>500</v>
      </c>
      <c r="F41" s="12">
        <v>126</v>
      </c>
      <c r="G41" s="2">
        <f>G40+Tabla315[[#This Row],[Incremento]]</f>
        <v>98302.447908343762</v>
      </c>
      <c r="H41" s="2">
        <v>500</v>
      </c>
      <c r="J41" s="12">
        <v>126</v>
      </c>
      <c r="K41" s="2">
        <f>K40+Tabla315[[#This Row],[Incremento]]</f>
        <v>91193.910582648445</v>
      </c>
      <c r="L41" s="2">
        <v>500</v>
      </c>
      <c r="M41" s="3"/>
      <c r="N41" s="12">
        <v>126</v>
      </c>
      <c r="O41" s="2">
        <f>O40+Tabla315[[#This Row],[Incremento]]</f>
        <v>794939.10582648439</v>
      </c>
      <c r="P41" s="2">
        <v>500</v>
      </c>
      <c r="R41" s="24">
        <v>126</v>
      </c>
      <c r="S41" s="19">
        <f>S40+Tabla315[[#This Row],[Incremento]]</f>
        <v>126736.597211125</v>
      </c>
      <c r="T41" s="20">
        <v>500</v>
      </c>
      <c r="V41" s="12">
        <v>126</v>
      </c>
      <c r="W41" s="2">
        <f>W40+Tabla315[[#This Row],[Incremento]]</f>
        <v>240473.19442225</v>
      </c>
      <c r="X41" s="2">
        <v>500</v>
      </c>
      <c r="Z41" s="12">
        <v>126</v>
      </c>
      <c r="AA41" s="2">
        <f>AA40+Tabla315[[#This Row],[Incremento]]</f>
        <v>268907.34372503124</v>
      </c>
      <c r="AB41" s="2">
        <v>500</v>
      </c>
      <c r="AD41" s="12">
        <v>126</v>
      </c>
      <c r="AE41" s="2">
        <f>AE40+Tabla315[[#This Row],[Incremento]]</f>
        <v>126736.597211125</v>
      </c>
      <c r="AF41" s="2">
        <v>500</v>
      </c>
    </row>
    <row r="42" spans="2:32" x14ac:dyDescent="0.2">
      <c r="B42" s="12">
        <v>127</v>
      </c>
      <c r="C42" s="2">
        <f>C41+Tabla315[[#This Row],[Incremento]]</f>
        <v>226756.1197708594</v>
      </c>
      <c r="D42" s="2">
        <v>500</v>
      </c>
      <c r="F42" s="12">
        <v>127</v>
      </c>
      <c r="G42" s="2">
        <f>G41+Tabla315[[#This Row],[Incremento]]</f>
        <v>98802.447908343762</v>
      </c>
      <c r="H42" s="2">
        <v>500</v>
      </c>
      <c r="J42" s="12">
        <v>127</v>
      </c>
      <c r="K42" s="2">
        <f>K41+Tabla315[[#This Row],[Incremento]]</f>
        <v>91693.910582648445</v>
      </c>
      <c r="L42" s="2">
        <v>500</v>
      </c>
      <c r="M42" s="3"/>
      <c r="N42" s="12">
        <v>127</v>
      </c>
      <c r="O42" s="2">
        <f>O41+Tabla315[[#This Row],[Incremento]]</f>
        <v>795439.10582648439</v>
      </c>
      <c r="P42" s="2">
        <v>500</v>
      </c>
      <c r="R42" s="23">
        <v>127</v>
      </c>
      <c r="S42" s="17">
        <f>S41+Tabla315[[#This Row],[Incremento]]</f>
        <v>127236.597211125</v>
      </c>
      <c r="T42" s="18">
        <v>500</v>
      </c>
      <c r="V42" s="12">
        <v>127</v>
      </c>
      <c r="W42" s="2">
        <f>W41+Tabla315[[#This Row],[Incremento]]</f>
        <v>240973.19442225</v>
      </c>
      <c r="X42" s="2">
        <v>500</v>
      </c>
      <c r="Z42" s="12">
        <v>127</v>
      </c>
      <c r="AA42" s="2">
        <f>AA41+Tabla315[[#This Row],[Incremento]]</f>
        <v>269407.34372503124</v>
      </c>
      <c r="AB42" s="2">
        <v>500</v>
      </c>
      <c r="AD42" s="12">
        <v>127</v>
      </c>
      <c r="AE42" s="2">
        <f>AE41+Tabla315[[#This Row],[Incremento]]</f>
        <v>127236.597211125</v>
      </c>
      <c r="AF42" s="2">
        <v>500</v>
      </c>
    </row>
    <row r="43" spans="2:32" x14ac:dyDescent="0.2">
      <c r="B43" s="12">
        <v>128</v>
      </c>
      <c r="C43" s="2">
        <f>C42+Tabla315[[#This Row],[Incremento]]</f>
        <v>227256.1197708594</v>
      </c>
      <c r="D43" s="2">
        <v>500</v>
      </c>
      <c r="F43" s="12">
        <v>128</v>
      </c>
      <c r="G43" s="2">
        <f>G42+Tabla315[[#This Row],[Incremento]]</f>
        <v>99302.447908343762</v>
      </c>
      <c r="H43" s="2">
        <v>500</v>
      </c>
      <c r="J43" s="12">
        <v>128</v>
      </c>
      <c r="K43" s="2">
        <f>K42+Tabla315[[#This Row],[Incremento]]</f>
        <v>92193.910582648445</v>
      </c>
      <c r="L43" s="2">
        <v>500</v>
      </c>
      <c r="M43" s="3"/>
      <c r="N43" s="12">
        <v>128</v>
      </c>
      <c r="O43" s="2">
        <f>O42+Tabla315[[#This Row],[Incremento]]</f>
        <v>795939.10582648439</v>
      </c>
      <c r="P43" s="2">
        <v>500</v>
      </c>
      <c r="R43" s="24">
        <v>128</v>
      </c>
      <c r="S43" s="19">
        <f>S42+Tabla315[[#This Row],[Incremento]]</f>
        <v>127736.597211125</v>
      </c>
      <c r="T43" s="20">
        <v>500</v>
      </c>
      <c r="V43" s="12">
        <v>128</v>
      </c>
      <c r="W43" s="2">
        <f>W42+Tabla315[[#This Row],[Incremento]]</f>
        <v>241473.19442225</v>
      </c>
      <c r="X43" s="2">
        <v>500</v>
      </c>
      <c r="Z43" s="12">
        <v>128</v>
      </c>
      <c r="AA43" s="2">
        <f>AA42+Tabla315[[#This Row],[Incremento]]</f>
        <v>269907.34372503124</v>
      </c>
      <c r="AB43" s="2">
        <v>500</v>
      </c>
      <c r="AD43" s="12">
        <v>128</v>
      </c>
      <c r="AE43" s="2">
        <f>AE42+Tabla315[[#This Row],[Incremento]]</f>
        <v>127736.597211125</v>
      </c>
      <c r="AF43" s="2">
        <v>500</v>
      </c>
    </row>
    <row r="44" spans="2:32" x14ac:dyDescent="0.2">
      <c r="B44" s="12">
        <v>129</v>
      </c>
      <c r="C44" s="2">
        <f>C43+Tabla315[[#This Row],[Incremento]]</f>
        <v>227756.1197708594</v>
      </c>
      <c r="D44" s="2">
        <v>500</v>
      </c>
      <c r="F44" s="12">
        <v>129</v>
      </c>
      <c r="G44" s="2">
        <f>G43+Tabla315[[#This Row],[Incremento]]</f>
        <v>99802.447908343762</v>
      </c>
      <c r="H44" s="2">
        <v>500</v>
      </c>
      <c r="J44" s="12">
        <v>129</v>
      </c>
      <c r="K44" s="2">
        <f>K43+Tabla315[[#This Row],[Incremento]]</f>
        <v>92693.910582648445</v>
      </c>
      <c r="L44" s="2">
        <v>500</v>
      </c>
      <c r="M44" s="3"/>
      <c r="N44" s="12">
        <v>129</v>
      </c>
      <c r="O44" s="2">
        <f>O43+Tabla315[[#This Row],[Incremento]]</f>
        <v>796439.10582648439</v>
      </c>
      <c r="P44" s="2">
        <v>500</v>
      </c>
      <c r="R44" s="23">
        <v>129</v>
      </c>
      <c r="S44" s="17">
        <f>S43+Tabla315[[#This Row],[Incremento]]</f>
        <v>128236.597211125</v>
      </c>
      <c r="T44" s="18">
        <v>500</v>
      </c>
      <c r="V44" s="12">
        <v>129</v>
      </c>
      <c r="W44" s="2">
        <f>W43+Tabla315[[#This Row],[Incremento]]</f>
        <v>241973.19442225</v>
      </c>
      <c r="X44" s="2">
        <v>500</v>
      </c>
      <c r="Z44" s="12">
        <v>129</v>
      </c>
      <c r="AA44" s="2">
        <f>AA43+Tabla315[[#This Row],[Incremento]]</f>
        <v>270407.34372503124</v>
      </c>
      <c r="AB44" s="2">
        <v>500</v>
      </c>
      <c r="AD44" s="12">
        <v>129</v>
      </c>
      <c r="AE44" s="2">
        <f>AE43+Tabla315[[#This Row],[Incremento]]</f>
        <v>128236.597211125</v>
      </c>
      <c r="AF44" s="2">
        <v>500</v>
      </c>
    </row>
    <row r="45" spans="2:32" x14ac:dyDescent="0.2">
      <c r="B45" s="12">
        <v>130</v>
      </c>
      <c r="C45" s="2">
        <f>C44+Tabla315[[#This Row],[Incremento]]</f>
        <v>228256.1197708594</v>
      </c>
      <c r="D45" s="2">
        <v>500</v>
      </c>
      <c r="F45" s="12">
        <v>130</v>
      </c>
      <c r="G45" s="2">
        <f>G44+Tabla315[[#This Row],[Incremento]]</f>
        <v>100302.44790834376</v>
      </c>
      <c r="H45" s="2">
        <v>500</v>
      </c>
      <c r="J45" s="12">
        <v>130</v>
      </c>
      <c r="K45" s="2">
        <f>K44+Tabla315[[#This Row],[Incremento]]</f>
        <v>93193.910582648445</v>
      </c>
      <c r="L45" s="2">
        <v>500</v>
      </c>
      <c r="M45" s="3"/>
      <c r="N45" s="12">
        <v>130</v>
      </c>
      <c r="O45" s="2">
        <f>O44+Tabla315[[#This Row],[Incremento]]</f>
        <v>796939.10582648439</v>
      </c>
      <c r="P45" s="2">
        <v>500</v>
      </c>
      <c r="R45" s="24">
        <v>130</v>
      </c>
      <c r="S45" s="19">
        <f>S44+Tabla315[[#This Row],[Incremento]]</f>
        <v>128736.597211125</v>
      </c>
      <c r="T45" s="20">
        <v>500</v>
      </c>
      <c r="V45" s="12">
        <v>130</v>
      </c>
      <c r="W45" s="2">
        <f>W44+Tabla315[[#This Row],[Incremento]]</f>
        <v>242473.19442225</v>
      </c>
      <c r="X45" s="2">
        <v>500</v>
      </c>
      <c r="Z45" s="12">
        <v>130</v>
      </c>
      <c r="AA45" s="2">
        <f>AA44+Tabla315[[#This Row],[Incremento]]</f>
        <v>270907.34372503124</v>
      </c>
      <c r="AB45" s="2">
        <v>500</v>
      </c>
      <c r="AD45" s="12">
        <v>130</v>
      </c>
      <c r="AE45" s="2">
        <f>AE44+Tabla315[[#This Row],[Incremento]]</f>
        <v>128736.597211125</v>
      </c>
      <c r="AF45" s="2">
        <v>500</v>
      </c>
    </row>
    <row r="46" spans="2:32" x14ac:dyDescent="0.2">
      <c r="B46" s="12">
        <v>131</v>
      </c>
      <c r="C46" s="2">
        <f>C45+Tabla315[[#This Row],[Incremento]]</f>
        <v>228756.1197708594</v>
      </c>
      <c r="D46" s="2">
        <v>500</v>
      </c>
      <c r="F46" s="12">
        <v>131</v>
      </c>
      <c r="G46" s="2">
        <f>G45+Tabla315[[#This Row],[Incremento]]</f>
        <v>100802.44790834376</v>
      </c>
      <c r="H46" s="2">
        <v>500</v>
      </c>
      <c r="J46" s="12">
        <v>131</v>
      </c>
      <c r="K46" s="2">
        <f>K45+Tabla315[[#This Row],[Incremento]]</f>
        <v>93693.910582648445</v>
      </c>
      <c r="L46" s="2">
        <v>500</v>
      </c>
      <c r="M46" s="3"/>
      <c r="N46" s="12">
        <v>131</v>
      </c>
      <c r="O46" s="2">
        <f>O45+Tabla315[[#This Row],[Incremento]]</f>
        <v>797439.10582648439</v>
      </c>
      <c r="P46" s="2">
        <v>500</v>
      </c>
      <c r="R46" s="23">
        <v>131</v>
      </c>
      <c r="S46" s="17">
        <f>S45+Tabla315[[#This Row],[Incremento]]</f>
        <v>129236.597211125</v>
      </c>
      <c r="T46" s="18">
        <v>500</v>
      </c>
      <c r="V46" s="12">
        <v>131</v>
      </c>
      <c r="W46" s="2">
        <f>W45+Tabla315[[#This Row],[Incremento]]</f>
        <v>242973.19442225</v>
      </c>
      <c r="X46" s="2">
        <v>500</v>
      </c>
      <c r="Z46" s="12">
        <v>131</v>
      </c>
      <c r="AA46" s="2">
        <f>AA45+Tabla315[[#This Row],[Incremento]]</f>
        <v>271407.34372503124</v>
      </c>
      <c r="AB46" s="2">
        <v>500</v>
      </c>
      <c r="AD46" s="12">
        <v>131</v>
      </c>
      <c r="AE46" s="2">
        <f>AE45+Tabla315[[#This Row],[Incremento]]</f>
        <v>129236.597211125</v>
      </c>
      <c r="AF46" s="2">
        <v>500</v>
      </c>
    </row>
    <row r="47" spans="2:32" x14ac:dyDescent="0.2">
      <c r="B47" s="12">
        <v>132</v>
      </c>
      <c r="C47" s="2">
        <f>C46+Tabla315[[#This Row],[Incremento]]</f>
        <v>229256.1197708594</v>
      </c>
      <c r="D47" s="2">
        <v>500</v>
      </c>
      <c r="F47" s="12">
        <v>132</v>
      </c>
      <c r="G47" s="2">
        <f>G46+Tabla315[[#This Row],[Incremento]]</f>
        <v>101302.44790834376</v>
      </c>
      <c r="H47" s="2">
        <v>500</v>
      </c>
      <c r="J47" s="12">
        <v>132</v>
      </c>
      <c r="K47" s="2">
        <f>K46+Tabla315[[#This Row],[Incremento]]</f>
        <v>94193.910582648445</v>
      </c>
      <c r="L47" s="2">
        <v>500</v>
      </c>
      <c r="M47" s="3"/>
      <c r="N47" s="12">
        <v>132</v>
      </c>
      <c r="O47" s="2">
        <f>O46+Tabla315[[#This Row],[Incremento]]</f>
        <v>797939.10582648439</v>
      </c>
      <c r="P47" s="2">
        <v>500</v>
      </c>
      <c r="R47" s="24">
        <v>132</v>
      </c>
      <c r="S47" s="19">
        <f>S46+Tabla315[[#This Row],[Incremento]]</f>
        <v>129736.597211125</v>
      </c>
      <c r="T47" s="20">
        <v>500</v>
      </c>
      <c r="V47" s="12">
        <v>132</v>
      </c>
      <c r="W47" s="2">
        <f>W46+Tabla315[[#This Row],[Incremento]]</f>
        <v>243473.19442225</v>
      </c>
      <c r="X47" s="2">
        <v>500</v>
      </c>
      <c r="Z47" s="12">
        <v>132</v>
      </c>
      <c r="AA47" s="2">
        <f>AA46+Tabla315[[#This Row],[Incremento]]</f>
        <v>271907.34372503124</v>
      </c>
      <c r="AB47" s="2">
        <v>500</v>
      </c>
      <c r="AD47" s="12">
        <v>132</v>
      </c>
      <c r="AE47" s="2">
        <f>AE46+Tabla315[[#This Row],[Incremento]]</f>
        <v>129736.597211125</v>
      </c>
      <c r="AF47" s="2">
        <v>500</v>
      </c>
    </row>
    <row r="48" spans="2:32" x14ac:dyDescent="0.2">
      <c r="B48" s="12">
        <v>133</v>
      </c>
      <c r="C48" s="2">
        <f>C47+Tabla315[[#This Row],[Incremento]]</f>
        <v>229756.1197708594</v>
      </c>
      <c r="D48" s="2">
        <v>500</v>
      </c>
      <c r="F48" s="12">
        <v>133</v>
      </c>
      <c r="G48" s="2">
        <f>G47+Tabla315[[#This Row],[Incremento]]</f>
        <v>101802.44790834376</v>
      </c>
      <c r="H48" s="2">
        <v>500</v>
      </c>
      <c r="J48" s="12">
        <v>133</v>
      </c>
      <c r="K48" s="2">
        <f>K47+Tabla315[[#This Row],[Incremento]]</f>
        <v>94693.910582648445</v>
      </c>
      <c r="L48" s="2">
        <v>500</v>
      </c>
      <c r="M48" s="3"/>
      <c r="N48" s="12">
        <v>133</v>
      </c>
      <c r="O48" s="2">
        <f>O47+Tabla315[[#This Row],[Incremento]]</f>
        <v>798439.10582648439</v>
      </c>
      <c r="P48" s="2">
        <v>500</v>
      </c>
      <c r="R48" s="23">
        <v>133</v>
      </c>
      <c r="S48" s="17">
        <f>S47+Tabla315[[#This Row],[Incremento]]</f>
        <v>130236.597211125</v>
      </c>
      <c r="T48" s="18">
        <v>500</v>
      </c>
      <c r="V48" s="12">
        <v>133</v>
      </c>
      <c r="W48" s="2">
        <f>W47+Tabla315[[#This Row],[Incremento]]</f>
        <v>243973.19442225</v>
      </c>
      <c r="X48" s="2">
        <v>500</v>
      </c>
      <c r="Z48" s="12">
        <v>133</v>
      </c>
      <c r="AA48" s="2">
        <f>AA47+Tabla315[[#This Row],[Incremento]]</f>
        <v>272407.34372503124</v>
      </c>
      <c r="AB48" s="2">
        <v>500</v>
      </c>
      <c r="AD48" s="12">
        <v>133</v>
      </c>
      <c r="AE48" s="2">
        <f>AE47+Tabla315[[#This Row],[Incremento]]</f>
        <v>130236.597211125</v>
      </c>
      <c r="AF48" s="2">
        <v>500</v>
      </c>
    </row>
    <row r="49" spans="2:32" x14ac:dyDescent="0.2">
      <c r="B49" s="12">
        <v>134</v>
      </c>
      <c r="C49" s="2">
        <f>C48+Tabla315[[#This Row],[Incremento]]</f>
        <v>230256.1197708594</v>
      </c>
      <c r="D49" s="2">
        <v>500</v>
      </c>
      <c r="F49" s="12">
        <v>134</v>
      </c>
      <c r="G49" s="2">
        <f>G48+Tabla315[[#This Row],[Incremento]]</f>
        <v>102302.44790834376</v>
      </c>
      <c r="H49" s="2">
        <v>500</v>
      </c>
      <c r="J49" s="12">
        <v>134</v>
      </c>
      <c r="K49" s="2">
        <f>K48+Tabla315[[#This Row],[Incremento]]</f>
        <v>95193.910582648445</v>
      </c>
      <c r="L49" s="2">
        <v>500</v>
      </c>
      <c r="M49" s="3"/>
      <c r="N49" s="12">
        <v>134</v>
      </c>
      <c r="O49" s="2">
        <f>O48+Tabla315[[#This Row],[Incremento]]</f>
        <v>798939.10582648439</v>
      </c>
      <c r="P49" s="2">
        <v>500</v>
      </c>
      <c r="R49" s="24">
        <v>134</v>
      </c>
      <c r="S49" s="19">
        <f>S48+Tabla315[[#This Row],[Incremento]]</f>
        <v>130736.597211125</v>
      </c>
      <c r="T49" s="20">
        <v>500</v>
      </c>
      <c r="V49" s="12">
        <v>134</v>
      </c>
      <c r="W49" s="2">
        <f>W48+Tabla315[[#This Row],[Incremento]]</f>
        <v>244473.19442225</v>
      </c>
      <c r="X49" s="2">
        <v>500</v>
      </c>
      <c r="Z49" s="12">
        <v>134</v>
      </c>
      <c r="AA49" s="2">
        <f>AA48+Tabla315[[#This Row],[Incremento]]</f>
        <v>272907.34372503124</v>
      </c>
      <c r="AB49" s="2">
        <v>500</v>
      </c>
      <c r="AD49" s="12">
        <v>134</v>
      </c>
      <c r="AE49" s="2">
        <f>AE48+Tabla315[[#This Row],[Incremento]]</f>
        <v>130736.597211125</v>
      </c>
      <c r="AF49" s="2">
        <v>500</v>
      </c>
    </row>
    <row r="50" spans="2:32" x14ac:dyDescent="0.2">
      <c r="B50" s="12">
        <v>135</v>
      </c>
      <c r="C50" s="2">
        <f>C49+Tabla315[[#This Row],[Incremento]]</f>
        <v>230756.1197708594</v>
      </c>
      <c r="D50" s="2">
        <v>500</v>
      </c>
      <c r="F50" s="12">
        <v>135</v>
      </c>
      <c r="G50" s="2">
        <f>G49+Tabla315[[#This Row],[Incremento]]</f>
        <v>102802.44790834376</v>
      </c>
      <c r="H50" s="2">
        <v>500</v>
      </c>
      <c r="J50" s="12">
        <v>135</v>
      </c>
      <c r="K50" s="2">
        <f>K49+Tabla315[[#This Row],[Incremento]]</f>
        <v>95693.910582648445</v>
      </c>
      <c r="L50" s="2">
        <v>500</v>
      </c>
      <c r="N50" s="12">
        <v>135</v>
      </c>
      <c r="O50" s="2">
        <f>O49+Tabla315[[#This Row],[Incremento]]</f>
        <v>799439.10582648439</v>
      </c>
      <c r="P50" s="2">
        <v>500</v>
      </c>
      <c r="R50" s="23">
        <v>135</v>
      </c>
      <c r="S50" s="17">
        <f>S49+Tabla315[[#This Row],[Incremento]]</f>
        <v>131236.59721112502</v>
      </c>
      <c r="T50" s="18">
        <v>500</v>
      </c>
      <c r="V50" s="12">
        <v>135</v>
      </c>
      <c r="W50" s="2">
        <f>W49+Tabla315[[#This Row],[Incremento]]</f>
        <v>244973.19442225</v>
      </c>
      <c r="X50" s="2">
        <v>500</v>
      </c>
      <c r="Z50" s="12">
        <v>135</v>
      </c>
      <c r="AA50" s="2">
        <f>AA49+Tabla315[[#This Row],[Incremento]]</f>
        <v>273407.34372503124</v>
      </c>
      <c r="AB50" s="2">
        <v>500</v>
      </c>
      <c r="AD50" s="12">
        <v>135</v>
      </c>
      <c r="AE50" s="2">
        <f>AE49+Tabla315[[#This Row],[Incremento]]</f>
        <v>131236.59721112502</v>
      </c>
      <c r="AF50" s="2">
        <v>500</v>
      </c>
    </row>
    <row r="51" spans="2:32" x14ac:dyDescent="0.2">
      <c r="B51" s="12">
        <v>136</v>
      </c>
      <c r="C51" s="2">
        <f>C50+Tabla315[[#This Row],[Incremento]]</f>
        <v>231256.1197708594</v>
      </c>
      <c r="D51" s="2">
        <v>500</v>
      </c>
      <c r="F51" s="12">
        <v>136</v>
      </c>
      <c r="G51" s="2">
        <f>G50+Tabla315[[#This Row],[Incremento]]</f>
        <v>103302.44790834376</v>
      </c>
      <c r="H51" s="2">
        <v>500</v>
      </c>
      <c r="J51" s="12">
        <v>136</v>
      </c>
      <c r="K51" s="2">
        <f>K50+Tabla315[[#This Row],[Incremento]]</f>
        <v>96193.910582648445</v>
      </c>
      <c r="L51" s="2">
        <v>500</v>
      </c>
      <c r="N51" s="12">
        <v>136</v>
      </c>
      <c r="O51" s="2">
        <f>O50+Tabla315[[#This Row],[Incremento]]</f>
        <v>799939.10582648439</v>
      </c>
      <c r="P51" s="2">
        <v>500</v>
      </c>
      <c r="R51" s="24">
        <v>136</v>
      </c>
      <c r="S51" s="19">
        <f>S50+Tabla315[[#This Row],[Incremento]]</f>
        <v>131736.59721112502</v>
      </c>
      <c r="T51" s="20">
        <v>500</v>
      </c>
      <c r="V51" s="12">
        <v>136</v>
      </c>
      <c r="W51" s="2">
        <f>W50+Tabla315[[#This Row],[Incremento]]</f>
        <v>245473.19442225</v>
      </c>
      <c r="X51" s="2">
        <v>500</v>
      </c>
      <c r="Z51" s="12">
        <v>136</v>
      </c>
      <c r="AA51" s="2">
        <f>AA50+Tabla315[[#This Row],[Incremento]]</f>
        <v>273907.34372503124</v>
      </c>
      <c r="AB51" s="2">
        <v>500</v>
      </c>
      <c r="AD51" s="12">
        <v>136</v>
      </c>
      <c r="AE51" s="2">
        <f>AE50+Tabla315[[#This Row],[Incremento]]</f>
        <v>131736.59721112502</v>
      </c>
      <c r="AF51" s="2">
        <v>500</v>
      </c>
    </row>
    <row r="52" spans="2:32" x14ac:dyDescent="0.2">
      <c r="B52" s="12">
        <v>137</v>
      </c>
      <c r="C52" s="2">
        <f>C51+Tabla315[[#This Row],[Incremento]]</f>
        <v>231756.1197708594</v>
      </c>
      <c r="D52" s="2">
        <v>500</v>
      </c>
      <c r="F52" s="12">
        <v>137</v>
      </c>
      <c r="G52" s="2">
        <f>G51+Tabla315[[#This Row],[Incremento]]</f>
        <v>103802.44790834376</v>
      </c>
      <c r="H52" s="2">
        <v>500</v>
      </c>
      <c r="J52" s="12">
        <v>137</v>
      </c>
      <c r="K52" s="2">
        <f>K51+Tabla315[[#This Row],[Incremento]]</f>
        <v>96693.910582648445</v>
      </c>
      <c r="L52" s="2">
        <v>500</v>
      </c>
      <c r="N52" s="12">
        <v>137</v>
      </c>
      <c r="O52" s="2">
        <f>O51+Tabla315[[#This Row],[Incremento]]</f>
        <v>800439.10582648439</v>
      </c>
      <c r="P52" s="2">
        <v>500</v>
      </c>
      <c r="R52" s="23">
        <v>137</v>
      </c>
      <c r="S52" s="17">
        <f>S51+Tabla315[[#This Row],[Incremento]]</f>
        <v>132236.59721112502</v>
      </c>
      <c r="T52" s="18">
        <v>500</v>
      </c>
      <c r="V52" s="12">
        <v>137</v>
      </c>
      <c r="W52" s="2">
        <f>W51+Tabla315[[#This Row],[Incremento]]</f>
        <v>245973.19442225</v>
      </c>
      <c r="X52" s="2">
        <v>500</v>
      </c>
      <c r="Z52" s="12">
        <v>137</v>
      </c>
      <c r="AA52" s="2">
        <f>AA51+Tabla315[[#This Row],[Incremento]]</f>
        <v>274407.34372503124</v>
      </c>
      <c r="AB52" s="2">
        <v>500</v>
      </c>
      <c r="AD52" s="12">
        <v>137</v>
      </c>
      <c r="AE52" s="2">
        <f>AE51+Tabla315[[#This Row],[Incremento]]</f>
        <v>132236.59721112502</v>
      </c>
      <c r="AF52" s="2">
        <v>500</v>
      </c>
    </row>
    <row r="53" spans="2:32" x14ac:dyDescent="0.2">
      <c r="B53" s="12">
        <v>138</v>
      </c>
      <c r="C53" s="2">
        <f>C52+Tabla315[[#This Row],[Incremento]]</f>
        <v>232256.1197708594</v>
      </c>
      <c r="D53" s="2">
        <v>500</v>
      </c>
      <c r="F53" s="12">
        <v>138</v>
      </c>
      <c r="G53" s="2">
        <f>G52+Tabla315[[#This Row],[Incremento]]</f>
        <v>104302.44790834376</v>
      </c>
      <c r="H53" s="2">
        <v>500</v>
      </c>
      <c r="J53" s="12">
        <v>138</v>
      </c>
      <c r="K53" s="2">
        <f>K52+Tabla315[[#This Row],[Incremento]]</f>
        <v>97193.910582648445</v>
      </c>
      <c r="L53" s="2">
        <v>500</v>
      </c>
      <c r="N53" s="12">
        <v>138</v>
      </c>
      <c r="O53" s="2">
        <f>O52+Tabla315[[#This Row],[Incremento]]</f>
        <v>800939.10582648439</v>
      </c>
      <c r="P53" s="2">
        <v>500</v>
      </c>
      <c r="R53" s="24">
        <v>138</v>
      </c>
      <c r="S53" s="19">
        <f>S52+Tabla315[[#This Row],[Incremento]]</f>
        <v>132736.59721112502</v>
      </c>
      <c r="T53" s="20">
        <v>500</v>
      </c>
      <c r="V53" s="12">
        <v>138</v>
      </c>
      <c r="W53" s="2">
        <f>W52+Tabla315[[#This Row],[Incremento]]</f>
        <v>246473.19442225</v>
      </c>
      <c r="X53" s="2">
        <v>500</v>
      </c>
      <c r="Z53" s="12">
        <v>138</v>
      </c>
      <c r="AA53" s="2">
        <f>AA52+Tabla315[[#This Row],[Incremento]]</f>
        <v>274907.34372503124</v>
      </c>
      <c r="AB53" s="2">
        <v>500</v>
      </c>
      <c r="AD53" s="12">
        <v>138</v>
      </c>
      <c r="AE53" s="2">
        <f>AE52+Tabla315[[#This Row],[Incremento]]</f>
        <v>132736.59721112502</v>
      </c>
      <c r="AF53" s="2">
        <v>500</v>
      </c>
    </row>
    <row r="54" spans="2:32" x14ac:dyDescent="0.2">
      <c r="B54" s="12">
        <v>139</v>
      </c>
      <c r="C54" s="2">
        <f>C53+Tabla315[[#This Row],[Incremento]]</f>
        <v>232756.1197708594</v>
      </c>
      <c r="D54" s="2">
        <v>500</v>
      </c>
      <c r="F54" s="12">
        <v>139</v>
      </c>
      <c r="G54" s="2">
        <f>G53+Tabla315[[#This Row],[Incremento]]</f>
        <v>104802.44790834376</v>
      </c>
      <c r="H54" s="2">
        <v>500</v>
      </c>
      <c r="J54" s="12">
        <v>139</v>
      </c>
      <c r="K54" s="2">
        <f>K53+Tabla315[[#This Row],[Incremento]]</f>
        <v>97693.910582648445</v>
      </c>
      <c r="L54" s="2">
        <v>500</v>
      </c>
      <c r="N54" s="12">
        <v>139</v>
      </c>
      <c r="O54" s="2">
        <f>O53+Tabla315[[#This Row],[Incremento]]</f>
        <v>801439.10582648439</v>
      </c>
      <c r="P54" s="2">
        <v>500</v>
      </c>
      <c r="R54" s="23">
        <v>139</v>
      </c>
      <c r="S54" s="17">
        <f>S53+Tabla315[[#This Row],[Incremento]]</f>
        <v>133236.59721112502</v>
      </c>
      <c r="T54" s="18">
        <v>500</v>
      </c>
      <c r="V54" s="12">
        <v>139</v>
      </c>
      <c r="W54" s="2">
        <f>W53+Tabla315[[#This Row],[Incremento]]</f>
        <v>246973.19442225</v>
      </c>
      <c r="X54" s="2">
        <v>500</v>
      </c>
      <c r="Z54" s="12">
        <v>139</v>
      </c>
      <c r="AA54" s="2">
        <f>AA53+Tabla315[[#This Row],[Incremento]]</f>
        <v>275407.34372503124</v>
      </c>
      <c r="AB54" s="2">
        <v>500</v>
      </c>
      <c r="AD54" s="12">
        <v>139</v>
      </c>
      <c r="AE54" s="2">
        <f>AE53+Tabla315[[#This Row],[Incremento]]</f>
        <v>133236.59721112502</v>
      </c>
      <c r="AF54" s="2">
        <v>500</v>
      </c>
    </row>
    <row r="55" spans="2:32" x14ac:dyDescent="0.2">
      <c r="B55" s="12">
        <v>140</v>
      </c>
      <c r="C55" s="2">
        <f>C54+Tabla315[[#This Row],[Incremento]]</f>
        <v>233256.1197708594</v>
      </c>
      <c r="D55" s="2">
        <v>500</v>
      </c>
      <c r="F55" s="12">
        <v>140</v>
      </c>
      <c r="G55" s="2">
        <f>G54+Tabla315[[#This Row],[Incremento]]</f>
        <v>105302.44790834376</v>
      </c>
      <c r="H55" s="2">
        <v>500</v>
      </c>
      <c r="J55" s="12">
        <v>140</v>
      </c>
      <c r="K55" s="2">
        <f>K54+Tabla315[[#This Row],[Incremento]]</f>
        <v>98193.910582648445</v>
      </c>
      <c r="L55" s="2">
        <v>500</v>
      </c>
      <c r="N55" s="12">
        <v>140</v>
      </c>
      <c r="O55" s="2">
        <f>O54+Tabla315[[#This Row],[Incremento]]</f>
        <v>801939.10582648439</v>
      </c>
      <c r="P55" s="2">
        <v>500</v>
      </c>
      <c r="R55" s="24">
        <v>140</v>
      </c>
      <c r="S55" s="19">
        <f>S54+Tabla315[[#This Row],[Incremento]]</f>
        <v>133736.59721112502</v>
      </c>
      <c r="T55" s="20">
        <v>500</v>
      </c>
      <c r="V55" s="12">
        <v>140</v>
      </c>
      <c r="W55" s="2">
        <f>W54+Tabla315[[#This Row],[Incremento]]</f>
        <v>247473.19442225</v>
      </c>
      <c r="X55" s="2">
        <v>500</v>
      </c>
      <c r="Z55" s="12">
        <v>140</v>
      </c>
      <c r="AA55" s="2">
        <f>AA54+Tabla315[[#This Row],[Incremento]]</f>
        <v>275907.34372503124</v>
      </c>
      <c r="AB55" s="2">
        <v>500</v>
      </c>
      <c r="AD55" s="12">
        <v>140</v>
      </c>
      <c r="AE55" s="2">
        <f>AE54+Tabla315[[#This Row],[Incremento]]</f>
        <v>133736.59721112502</v>
      </c>
      <c r="AF55" s="2">
        <v>500</v>
      </c>
    </row>
    <row r="56" spans="2:32" x14ac:dyDescent="0.2">
      <c r="B56" s="12">
        <v>141</v>
      </c>
      <c r="C56" s="2">
        <f>C55+Tabla315[[#This Row],[Incremento]]</f>
        <v>233756.1197708594</v>
      </c>
      <c r="D56" s="2">
        <v>500</v>
      </c>
      <c r="F56" s="12">
        <v>141</v>
      </c>
      <c r="G56" s="2">
        <f>G55+Tabla315[[#This Row],[Incremento]]</f>
        <v>105802.44790834376</v>
      </c>
      <c r="H56" s="2">
        <v>500</v>
      </c>
      <c r="J56" s="12">
        <v>141</v>
      </c>
      <c r="K56" s="2">
        <f>K55+Tabla315[[#This Row],[Incremento]]</f>
        <v>98693.910582648445</v>
      </c>
      <c r="L56" s="2">
        <v>500</v>
      </c>
      <c r="N56" s="12">
        <v>141</v>
      </c>
      <c r="O56" s="2">
        <f>O55+Tabla315[[#This Row],[Incremento]]</f>
        <v>802439.10582648439</v>
      </c>
      <c r="P56" s="2">
        <v>500</v>
      </c>
      <c r="R56" s="23">
        <v>141</v>
      </c>
      <c r="S56" s="17">
        <f>S55+Tabla315[[#This Row],[Incremento]]</f>
        <v>134236.59721112502</v>
      </c>
      <c r="T56" s="18">
        <v>500</v>
      </c>
      <c r="V56" s="12">
        <v>141</v>
      </c>
      <c r="W56" s="2">
        <f>W55+Tabla315[[#This Row],[Incremento]]</f>
        <v>247973.19442225</v>
      </c>
      <c r="X56" s="2">
        <v>500</v>
      </c>
      <c r="Z56" s="12">
        <v>141</v>
      </c>
      <c r="AA56" s="2">
        <f>AA55+Tabla315[[#This Row],[Incremento]]</f>
        <v>276407.34372503124</v>
      </c>
      <c r="AB56" s="2">
        <v>500</v>
      </c>
      <c r="AD56" s="12">
        <v>141</v>
      </c>
      <c r="AE56" s="2">
        <f>AE55+Tabla315[[#This Row],[Incremento]]</f>
        <v>134236.59721112502</v>
      </c>
      <c r="AF56" s="2">
        <v>500</v>
      </c>
    </row>
    <row r="57" spans="2:32" x14ac:dyDescent="0.2">
      <c r="B57" s="12">
        <v>142</v>
      </c>
      <c r="C57" s="2">
        <f>C56+Tabla315[[#This Row],[Incremento]]</f>
        <v>234256.1197708594</v>
      </c>
      <c r="D57" s="2">
        <v>500</v>
      </c>
      <c r="F57" s="12">
        <v>142</v>
      </c>
      <c r="G57" s="2">
        <f>G56+Tabla315[[#This Row],[Incremento]]</f>
        <v>106302.44790834376</v>
      </c>
      <c r="H57" s="2">
        <v>500</v>
      </c>
      <c r="J57" s="12">
        <v>142</v>
      </c>
      <c r="K57" s="2">
        <f>K56+Tabla315[[#This Row],[Incremento]]</f>
        <v>99193.910582648445</v>
      </c>
      <c r="L57" s="2">
        <v>500</v>
      </c>
      <c r="N57" s="12">
        <v>142</v>
      </c>
      <c r="O57" s="2">
        <f>O56+Tabla315[[#This Row],[Incremento]]</f>
        <v>802939.10582648439</v>
      </c>
      <c r="P57" s="2">
        <v>500</v>
      </c>
      <c r="R57" s="24">
        <v>142</v>
      </c>
      <c r="S57" s="19">
        <f>S56+Tabla315[[#This Row],[Incremento]]</f>
        <v>134736.59721112502</v>
      </c>
      <c r="T57" s="20">
        <v>500</v>
      </c>
      <c r="V57" s="12">
        <v>142</v>
      </c>
      <c r="W57" s="2">
        <f>W56+Tabla315[[#This Row],[Incremento]]</f>
        <v>248473.19442225</v>
      </c>
      <c r="X57" s="2">
        <v>500</v>
      </c>
      <c r="Z57" s="12">
        <v>142</v>
      </c>
      <c r="AA57" s="2">
        <f>AA56+Tabla315[[#This Row],[Incremento]]</f>
        <v>276907.34372503124</v>
      </c>
      <c r="AB57" s="2">
        <v>500</v>
      </c>
      <c r="AD57" s="12">
        <v>142</v>
      </c>
      <c r="AE57" s="2">
        <f>AE56+Tabla315[[#This Row],[Incremento]]</f>
        <v>134736.59721112502</v>
      </c>
      <c r="AF57" s="2">
        <v>500</v>
      </c>
    </row>
    <row r="58" spans="2:32" x14ac:dyDescent="0.2">
      <c r="B58" s="12">
        <v>143</v>
      </c>
      <c r="C58" s="2">
        <f>C57+Tabla315[[#This Row],[Incremento]]</f>
        <v>234756.1197708594</v>
      </c>
      <c r="D58" s="2">
        <v>500</v>
      </c>
      <c r="F58" s="12">
        <v>143</v>
      </c>
      <c r="G58" s="2">
        <f>G57+Tabla315[[#This Row],[Incremento]]</f>
        <v>106802.44790834376</v>
      </c>
      <c r="H58" s="2">
        <v>500</v>
      </c>
      <c r="J58" s="12">
        <v>143</v>
      </c>
      <c r="K58" s="2">
        <f>K57+Tabla315[[#This Row],[Incremento]]</f>
        <v>99693.910582648445</v>
      </c>
      <c r="L58" s="2">
        <v>500</v>
      </c>
      <c r="N58" s="12">
        <v>143</v>
      </c>
      <c r="O58" s="2">
        <f>O57+Tabla315[[#This Row],[Incremento]]</f>
        <v>803439.10582648439</v>
      </c>
      <c r="P58" s="2">
        <v>500</v>
      </c>
      <c r="R58" s="23">
        <v>143</v>
      </c>
      <c r="S58" s="17">
        <f>S57+Tabla315[[#This Row],[Incremento]]</f>
        <v>135236.59721112502</v>
      </c>
      <c r="T58" s="18">
        <v>500</v>
      </c>
      <c r="V58" s="12">
        <v>143</v>
      </c>
      <c r="W58" s="2">
        <f>W57+Tabla315[[#This Row],[Incremento]]</f>
        <v>248973.19442225</v>
      </c>
      <c r="X58" s="2">
        <v>500</v>
      </c>
      <c r="Z58" s="12">
        <v>143</v>
      </c>
      <c r="AA58" s="2">
        <f>AA57+Tabla315[[#This Row],[Incremento]]</f>
        <v>277407.34372503124</v>
      </c>
      <c r="AB58" s="2">
        <v>500</v>
      </c>
      <c r="AD58" s="12">
        <v>143</v>
      </c>
      <c r="AE58" s="2">
        <f>AE57+Tabla315[[#This Row],[Incremento]]</f>
        <v>135236.59721112502</v>
      </c>
      <c r="AF58" s="2">
        <v>500</v>
      </c>
    </row>
    <row r="59" spans="2:32" x14ac:dyDescent="0.2">
      <c r="B59" s="12">
        <v>144</v>
      </c>
      <c r="C59" s="2">
        <f>C58+Tabla315[[#This Row],[Incremento]]</f>
        <v>235256.1197708594</v>
      </c>
      <c r="D59" s="2">
        <v>500</v>
      </c>
      <c r="F59" s="12">
        <v>144</v>
      </c>
      <c r="G59" s="2">
        <f>G58+Tabla315[[#This Row],[Incremento]]</f>
        <v>107302.44790834376</v>
      </c>
      <c r="H59" s="2">
        <v>500</v>
      </c>
      <c r="J59" s="12">
        <v>144</v>
      </c>
      <c r="K59" s="2">
        <f>K58+Tabla315[[#This Row],[Incremento]]</f>
        <v>100193.91058264844</v>
      </c>
      <c r="L59" s="2">
        <v>500</v>
      </c>
      <c r="N59" s="12">
        <v>144</v>
      </c>
      <c r="O59" s="2">
        <f>O58+Tabla315[[#This Row],[Incremento]]</f>
        <v>803939.10582648439</v>
      </c>
      <c r="P59" s="2">
        <v>500</v>
      </c>
      <c r="R59" s="24">
        <v>144</v>
      </c>
      <c r="S59" s="19">
        <f>S58+Tabla315[[#This Row],[Incremento]]</f>
        <v>135736.59721112502</v>
      </c>
      <c r="T59" s="20">
        <v>500</v>
      </c>
      <c r="V59" s="12">
        <v>144</v>
      </c>
      <c r="W59" s="2">
        <f>W58+Tabla315[[#This Row],[Incremento]]</f>
        <v>249473.19442225</v>
      </c>
      <c r="X59" s="2">
        <v>500</v>
      </c>
      <c r="Z59" s="12">
        <v>144</v>
      </c>
      <c r="AA59" s="2">
        <f>AA58+Tabla315[[#This Row],[Incremento]]</f>
        <v>277907.34372503124</v>
      </c>
      <c r="AB59" s="2">
        <v>500</v>
      </c>
      <c r="AD59" s="12">
        <v>144</v>
      </c>
      <c r="AE59" s="2">
        <f>AE58+Tabla315[[#This Row],[Incremento]]</f>
        <v>135736.59721112502</v>
      </c>
      <c r="AF59" s="2">
        <v>500</v>
      </c>
    </row>
    <row r="60" spans="2:32" x14ac:dyDescent="0.2">
      <c r="B60" s="12">
        <v>145</v>
      </c>
      <c r="C60" s="2">
        <f>C59+Tabla315[[#This Row],[Incremento]]</f>
        <v>235756.1197708594</v>
      </c>
      <c r="D60" s="2">
        <v>500</v>
      </c>
      <c r="F60" s="12">
        <v>145</v>
      </c>
      <c r="G60" s="2">
        <f>G59+Tabla315[[#This Row],[Incremento]]</f>
        <v>107802.44790834376</v>
      </c>
      <c r="H60" s="2">
        <v>500</v>
      </c>
      <c r="J60" s="12">
        <v>145</v>
      </c>
      <c r="K60" s="2">
        <f>K59+Tabla315[[#This Row],[Incremento]]</f>
        <v>100693.91058264844</v>
      </c>
      <c r="L60" s="2">
        <v>500</v>
      </c>
      <c r="N60" s="12">
        <v>145</v>
      </c>
      <c r="O60" s="2">
        <f>O59+Tabla315[[#This Row],[Incremento]]</f>
        <v>804439.10582648439</v>
      </c>
      <c r="P60" s="2">
        <v>500</v>
      </c>
      <c r="R60" s="23">
        <v>145</v>
      </c>
      <c r="S60" s="17">
        <f>S59+Tabla315[[#This Row],[Incremento]]</f>
        <v>136236.59721112502</v>
      </c>
      <c r="T60" s="18">
        <v>500</v>
      </c>
      <c r="V60" s="12">
        <v>145</v>
      </c>
      <c r="W60" s="2">
        <f>W59+Tabla315[[#This Row],[Incremento]]</f>
        <v>249973.19442225</v>
      </c>
      <c r="X60" s="2">
        <v>500</v>
      </c>
      <c r="Z60" s="12">
        <v>145</v>
      </c>
      <c r="AA60" s="2">
        <f>AA59+Tabla315[[#This Row],[Incremento]]</f>
        <v>278407.34372503124</v>
      </c>
      <c r="AB60" s="2">
        <v>500</v>
      </c>
      <c r="AD60" s="12">
        <v>145</v>
      </c>
      <c r="AE60" s="2">
        <f>AE59+Tabla315[[#This Row],[Incremento]]</f>
        <v>136236.59721112502</v>
      </c>
      <c r="AF60" s="2">
        <v>500</v>
      </c>
    </row>
    <row r="61" spans="2:32" x14ac:dyDescent="0.2">
      <c r="B61" s="12">
        <v>146</v>
      </c>
      <c r="C61" s="2">
        <f>C60+Tabla315[[#This Row],[Incremento]]</f>
        <v>236256.1197708594</v>
      </c>
      <c r="D61" s="2">
        <v>500</v>
      </c>
      <c r="F61" s="12">
        <v>146</v>
      </c>
      <c r="G61" s="2">
        <f>G60+Tabla315[[#This Row],[Incremento]]</f>
        <v>108302.44790834376</v>
      </c>
      <c r="H61" s="2">
        <v>500</v>
      </c>
      <c r="J61" s="12">
        <v>146</v>
      </c>
      <c r="K61" s="2">
        <f>K60+Tabla315[[#This Row],[Incremento]]</f>
        <v>101193.91058264844</v>
      </c>
      <c r="L61" s="2">
        <v>500</v>
      </c>
      <c r="N61" s="12">
        <v>146</v>
      </c>
      <c r="O61" s="2">
        <f>O60+Tabla315[[#This Row],[Incremento]]</f>
        <v>804939.10582648439</v>
      </c>
      <c r="P61" s="2">
        <v>500</v>
      </c>
      <c r="R61" s="24">
        <v>146</v>
      </c>
      <c r="S61" s="19">
        <f>S60+Tabla315[[#This Row],[Incremento]]</f>
        <v>136736.59721112502</v>
      </c>
      <c r="T61" s="20">
        <v>500</v>
      </c>
      <c r="V61" s="12">
        <v>146</v>
      </c>
      <c r="W61" s="2">
        <f>W60+Tabla315[[#This Row],[Incremento]]</f>
        <v>250473.19442225</v>
      </c>
      <c r="X61" s="2">
        <v>500</v>
      </c>
      <c r="Z61" s="12">
        <v>146</v>
      </c>
      <c r="AA61" s="2">
        <f>AA60+Tabla315[[#This Row],[Incremento]]</f>
        <v>278907.34372503124</v>
      </c>
      <c r="AB61" s="2">
        <v>500</v>
      </c>
      <c r="AD61" s="12">
        <v>146</v>
      </c>
      <c r="AE61" s="2">
        <f>AE60+Tabla315[[#This Row],[Incremento]]</f>
        <v>136736.59721112502</v>
      </c>
      <c r="AF61" s="2">
        <v>500</v>
      </c>
    </row>
    <row r="62" spans="2:32" x14ac:dyDescent="0.2">
      <c r="B62" s="12">
        <v>147</v>
      </c>
      <c r="C62" s="2">
        <f>C61+Tabla315[[#This Row],[Incremento]]</f>
        <v>236756.1197708594</v>
      </c>
      <c r="D62" s="2">
        <v>500</v>
      </c>
      <c r="F62" s="12">
        <v>147</v>
      </c>
      <c r="G62" s="2">
        <f>G61+Tabla315[[#This Row],[Incremento]]</f>
        <v>108802.44790834376</v>
      </c>
      <c r="H62" s="2">
        <v>500</v>
      </c>
      <c r="J62" s="12">
        <v>147</v>
      </c>
      <c r="K62" s="2">
        <f>K61+Tabla315[[#This Row],[Incremento]]</f>
        <v>101693.91058264844</v>
      </c>
      <c r="L62" s="2">
        <v>500</v>
      </c>
      <c r="N62" s="12">
        <v>147</v>
      </c>
      <c r="O62" s="2">
        <f>O61+Tabla315[[#This Row],[Incremento]]</f>
        <v>805439.10582648439</v>
      </c>
      <c r="P62" s="2">
        <v>500</v>
      </c>
      <c r="R62" s="23">
        <v>147</v>
      </c>
      <c r="S62" s="17">
        <f>S61+Tabla315[[#This Row],[Incremento]]</f>
        <v>137236.59721112502</v>
      </c>
      <c r="T62" s="18">
        <v>500</v>
      </c>
      <c r="V62" s="12">
        <v>147</v>
      </c>
      <c r="W62" s="2">
        <f>W61+Tabla315[[#This Row],[Incremento]]</f>
        <v>250973.19442225</v>
      </c>
      <c r="X62" s="2">
        <v>500</v>
      </c>
      <c r="Z62" s="12">
        <v>147</v>
      </c>
      <c r="AA62" s="2">
        <f>AA61+Tabla315[[#This Row],[Incremento]]</f>
        <v>279407.34372503124</v>
      </c>
      <c r="AB62" s="2">
        <v>500</v>
      </c>
      <c r="AD62" s="12">
        <v>147</v>
      </c>
      <c r="AE62" s="2">
        <f>AE61+Tabla315[[#This Row],[Incremento]]</f>
        <v>137236.59721112502</v>
      </c>
      <c r="AF62" s="2">
        <v>500</v>
      </c>
    </row>
    <row r="63" spans="2:32" x14ac:dyDescent="0.2">
      <c r="B63" s="12">
        <v>148</v>
      </c>
      <c r="C63" s="2">
        <f>C62+Tabla315[[#This Row],[Incremento]]</f>
        <v>237256.1197708594</v>
      </c>
      <c r="D63" s="2">
        <v>500</v>
      </c>
      <c r="F63" s="12">
        <v>148</v>
      </c>
      <c r="G63" s="2">
        <f>G62+Tabla315[[#This Row],[Incremento]]</f>
        <v>109302.44790834376</v>
      </c>
      <c r="H63" s="2">
        <v>500</v>
      </c>
      <c r="J63" s="12">
        <v>148</v>
      </c>
      <c r="K63" s="2">
        <f>K62+Tabla315[[#This Row],[Incremento]]</f>
        <v>102193.91058264844</v>
      </c>
      <c r="L63" s="2">
        <v>500</v>
      </c>
      <c r="N63" s="12">
        <v>148</v>
      </c>
      <c r="O63" s="2">
        <f>O62+Tabla315[[#This Row],[Incremento]]</f>
        <v>805939.10582648439</v>
      </c>
      <c r="P63" s="2">
        <v>500</v>
      </c>
      <c r="R63" s="24">
        <v>148</v>
      </c>
      <c r="S63" s="19">
        <f>S62+Tabla315[[#This Row],[Incremento]]</f>
        <v>137736.59721112502</v>
      </c>
      <c r="T63" s="20">
        <v>500</v>
      </c>
      <c r="V63" s="12">
        <v>148</v>
      </c>
      <c r="W63" s="2">
        <f>W62+Tabla315[[#This Row],[Incremento]]</f>
        <v>251473.19442225</v>
      </c>
      <c r="X63" s="2">
        <v>500</v>
      </c>
      <c r="Z63" s="12">
        <v>148</v>
      </c>
      <c r="AA63" s="2">
        <f>AA62+Tabla315[[#This Row],[Incremento]]</f>
        <v>279907.34372503124</v>
      </c>
      <c r="AB63" s="2">
        <v>500</v>
      </c>
      <c r="AD63" s="12">
        <v>148</v>
      </c>
      <c r="AE63" s="2">
        <f>AE62+Tabla315[[#This Row],[Incremento]]</f>
        <v>137736.59721112502</v>
      </c>
      <c r="AF63" s="2">
        <v>500</v>
      </c>
    </row>
    <row r="64" spans="2:32" x14ac:dyDescent="0.2">
      <c r="B64" s="12">
        <v>149</v>
      </c>
      <c r="C64" s="2">
        <f>C63+Tabla315[[#This Row],[Incremento]]</f>
        <v>237756.1197708594</v>
      </c>
      <c r="D64" s="2">
        <v>500</v>
      </c>
      <c r="F64" s="12">
        <v>149</v>
      </c>
      <c r="G64" s="2">
        <f>G63+Tabla315[[#This Row],[Incremento]]</f>
        <v>109802.44790834376</v>
      </c>
      <c r="H64" s="2">
        <v>500</v>
      </c>
      <c r="J64" s="12">
        <v>149</v>
      </c>
      <c r="K64" s="2">
        <f>K63+Tabla315[[#This Row],[Incremento]]</f>
        <v>102693.91058264844</v>
      </c>
      <c r="L64" s="2">
        <v>500</v>
      </c>
      <c r="N64" s="12">
        <v>149</v>
      </c>
      <c r="O64" s="2">
        <f>O63+Tabla315[[#This Row],[Incremento]]</f>
        <v>806439.10582648439</v>
      </c>
      <c r="P64" s="2">
        <v>500</v>
      </c>
      <c r="R64" s="23">
        <v>149</v>
      </c>
      <c r="S64" s="17">
        <f>S63+Tabla315[[#This Row],[Incremento]]</f>
        <v>138236.59721112502</v>
      </c>
      <c r="T64" s="18">
        <v>500</v>
      </c>
      <c r="V64" s="12">
        <v>149</v>
      </c>
      <c r="W64" s="2">
        <f>W63+Tabla315[[#This Row],[Incremento]]</f>
        <v>251973.19442225</v>
      </c>
      <c r="X64" s="2">
        <v>500</v>
      </c>
      <c r="Z64" s="12">
        <v>149</v>
      </c>
      <c r="AA64" s="2">
        <f>AA63+Tabla315[[#This Row],[Incremento]]</f>
        <v>280407.34372503124</v>
      </c>
      <c r="AB64" s="2">
        <v>500</v>
      </c>
      <c r="AD64" s="12">
        <v>149</v>
      </c>
      <c r="AE64" s="2">
        <f>AE63+Tabla315[[#This Row],[Incremento]]</f>
        <v>138236.59721112502</v>
      </c>
      <c r="AF64" s="2">
        <v>500</v>
      </c>
    </row>
    <row r="65" spans="2:32" x14ac:dyDescent="0.2">
      <c r="B65" s="12">
        <v>150</v>
      </c>
      <c r="C65" s="2">
        <f>C64+Tabla315[[#This Row],[Incremento]]</f>
        <v>238256.1197708594</v>
      </c>
      <c r="D65" s="2">
        <v>500</v>
      </c>
      <c r="F65" s="12">
        <v>150</v>
      </c>
      <c r="G65" s="2">
        <f>G64+Tabla315[[#This Row],[Incremento]]</f>
        <v>110302.44790834376</v>
      </c>
      <c r="H65" s="2">
        <v>500</v>
      </c>
      <c r="J65" s="12">
        <v>150</v>
      </c>
      <c r="K65" s="2">
        <f>K64+Tabla315[[#This Row],[Incremento]]</f>
        <v>103193.91058264844</v>
      </c>
      <c r="L65" s="2">
        <v>500</v>
      </c>
      <c r="N65" s="12">
        <v>150</v>
      </c>
      <c r="O65" s="2">
        <f>O64+Tabla315[[#This Row],[Incremento]]</f>
        <v>806939.10582648439</v>
      </c>
      <c r="P65" s="2">
        <v>500</v>
      </c>
      <c r="R65" s="24">
        <v>150</v>
      </c>
      <c r="S65" s="19">
        <f>S64+Tabla315[[#This Row],[Incremento]]</f>
        <v>138736.59721112502</v>
      </c>
      <c r="T65" s="20">
        <v>500</v>
      </c>
      <c r="V65" s="12">
        <v>150</v>
      </c>
      <c r="W65" s="2">
        <f>W64+Tabla315[[#This Row],[Incremento]]</f>
        <v>252473.19442225</v>
      </c>
      <c r="X65" s="2">
        <v>500</v>
      </c>
      <c r="Z65" s="12">
        <v>150</v>
      </c>
      <c r="AA65" s="2">
        <f>AA64+Tabla315[[#This Row],[Incremento]]</f>
        <v>280907.34372503124</v>
      </c>
      <c r="AB65" s="2">
        <v>500</v>
      </c>
      <c r="AD65" s="12">
        <v>150</v>
      </c>
      <c r="AE65" s="2">
        <f>AE64+Tabla315[[#This Row],[Incremento]]</f>
        <v>138736.59721112502</v>
      </c>
      <c r="AF65" s="2">
        <v>500</v>
      </c>
    </row>
    <row r="66" spans="2:32" x14ac:dyDescent="0.2">
      <c r="B66" s="12">
        <v>151</v>
      </c>
      <c r="C66" s="2">
        <f>C65+Tabla315[[#This Row],[Incremento]]</f>
        <v>238756.1197708594</v>
      </c>
      <c r="D66" s="2">
        <v>500</v>
      </c>
      <c r="F66" s="12">
        <v>151</v>
      </c>
      <c r="G66" s="2">
        <f>G65+Tabla315[[#This Row],[Incremento]]</f>
        <v>110802.44790834376</v>
      </c>
      <c r="H66" s="2">
        <v>500</v>
      </c>
      <c r="J66" s="12">
        <v>151</v>
      </c>
      <c r="K66" s="2">
        <f>K65+Tabla315[[#This Row],[Incremento]]</f>
        <v>103693.91058264844</v>
      </c>
      <c r="L66" s="2">
        <v>500</v>
      </c>
      <c r="N66" s="12">
        <v>151</v>
      </c>
      <c r="O66" s="2">
        <f>O65+Tabla315[[#This Row],[Incremento]]</f>
        <v>807439.10582648439</v>
      </c>
      <c r="P66" s="2">
        <v>500</v>
      </c>
      <c r="R66" s="23">
        <v>151</v>
      </c>
      <c r="S66" s="17">
        <f>S65+Tabla315[[#This Row],[Incremento]]</f>
        <v>139236.59721112502</v>
      </c>
      <c r="T66" s="18">
        <v>500</v>
      </c>
      <c r="V66" s="12">
        <v>151</v>
      </c>
      <c r="W66" s="2">
        <f>W65+Tabla315[[#This Row],[Incremento]]</f>
        <v>252973.19442225</v>
      </c>
      <c r="X66" s="2">
        <v>500</v>
      </c>
      <c r="Z66" s="12">
        <v>151</v>
      </c>
      <c r="AA66" s="2">
        <f>AA65+Tabla315[[#This Row],[Incremento]]</f>
        <v>281407.34372503124</v>
      </c>
      <c r="AB66" s="2">
        <v>500</v>
      </c>
      <c r="AD66" s="12">
        <v>151</v>
      </c>
      <c r="AE66" s="2">
        <f>AE65+Tabla315[[#This Row],[Incremento]]</f>
        <v>139236.59721112502</v>
      </c>
      <c r="AF66" s="2">
        <v>500</v>
      </c>
    </row>
    <row r="67" spans="2:32" x14ac:dyDescent="0.2">
      <c r="B67" s="12">
        <v>152</v>
      </c>
      <c r="C67" s="2">
        <f>C66+Tabla315[[#This Row],[Incremento]]</f>
        <v>239256.1197708594</v>
      </c>
      <c r="D67" s="2">
        <v>500</v>
      </c>
      <c r="F67" s="12">
        <v>152</v>
      </c>
      <c r="G67" s="2">
        <f>G66+Tabla315[[#This Row],[Incremento]]</f>
        <v>111302.44790834376</v>
      </c>
      <c r="H67" s="2">
        <v>500</v>
      </c>
      <c r="J67" s="12">
        <v>152</v>
      </c>
      <c r="K67" s="2">
        <f>K66+Tabla315[[#This Row],[Incremento]]</f>
        <v>104193.91058264844</v>
      </c>
      <c r="L67" s="2">
        <v>500</v>
      </c>
      <c r="N67" s="12">
        <v>152</v>
      </c>
      <c r="O67" s="2">
        <f>O66+Tabla315[[#This Row],[Incremento]]</f>
        <v>807939.10582648439</v>
      </c>
      <c r="P67" s="2">
        <v>500</v>
      </c>
      <c r="R67" s="24">
        <v>152</v>
      </c>
      <c r="S67" s="19">
        <f>S66+Tabla315[[#This Row],[Incremento]]</f>
        <v>139736.59721112502</v>
      </c>
      <c r="T67" s="20">
        <v>500</v>
      </c>
      <c r="V67" s="12">
        <v>152</v>
      </c>
      <c r="W67" s="2">
        <f>W66+Tabla315[[#This Row],[Incremento]]</f>
        <v>253473.19442225</v>
      </c>
      <c r="X67" s="2">
        <v>500</v>
      </c>
      <c r="Z67" s="12">
        <v>152</v>
      </c>
      <c r="AA67" s="2">
        <f>AA66+Tabla315[[#This Row],[Incremento]]</f>
        <v>281907.34372503124</v>
      </c>
      <c r="AB67" s="2">
        <v>500</v>
      </c>
      <c r="AD67" s="12">
        <v>152</v>
      </c>
      <c r="AE67" s="2">
        <f>AE66+Tabla315[[#This Row],[Incremento]]</f>
        <v>139736.59721112502</v>
      </c>
      <c r="AF67" s="2">
        <v>500</v>
      </c>
    </row>
    <row r="68" spans="2:32" x14ac:dyDescent="0.2">
      <c r="B68" s="12">
        <v>153</v>
      </c>
      <c r="C68" s="2">
        <f>C67+Tabla315[[#This Row],[Incremento]]</f>
        <v>239756.1197708594</v>
      </c>
      <c r="D68" s="2">
        <v>500</v>
      </c>
      <c r="F68" s="12">
        <v>153</v>
      </c>
      <c r="G68" s="2">
        <f>G67+Tabla315[[#This Row],[Incremento]]</f>
        <v>111802.44790834376</v>
      </c>
      <c r="H68" s="2">
        <v>500</v>
      </c>
      <c r="J68" s="12">
        <v>153</v>
      </c>
      <c r="K68" s="2">
        <f>K67+Tabla315[[#This Row],[Incremento]]</f>
        <v>104693.91058264844</v>
      </c>
      <c r="L68" s="2">
        <v>500</v>
      </c>
      <c r="N68" s="12">
        <v>153</v>
      </c>
      <c r="O68" s="2">
        <f>O67+Tabla315[[#This Row],[Incremento]]</f>
        <v>808439.10582648439</v>
      </c>
      <c r="P68" s="2">
        <v>500</v>
      </c>
      <c r="R68" s="23">
        <v>153</v>
      </c>
      <c r="S68" s="17">
        <f>S67+Tabla315[[#This Row],[Incremento]]</f>
        <v>140236.59721112502</v>
      </c>
      <c r="T68" s="18">
        <v>500</v>
      </c>
      <c r="V68" s="12">
        <v>153</v>
      </c>
      <c r="W68" s="2">
        <f>W67+Tabla315[[#This Row],[Incremento]]</f>
        <v>253973.19442225</v>
      </c>
      <c r="X68" s="2">
        <v>500</v>
      </c>
      <c r="Z68" s="12">
        <v>153</v>
      </c>
      <c r="AA68" s="2">
        <f>AA67+Tabla315[[#This Row],[Incremento]]</f>
        <v>282407.34372503124</v>
      </c>
      <c r="AB68" s="2">
        <v>500</v>
      </c>
      <c r="AD68" s="12">
        <v>153</v>
      </c>
      <c r="AE68" s="2">
        <f>AE67+Tabla315[[#This Row],[Incremento]]</f>
        <v>140236.59721112502</v>
      </c>
      <c r="AF68" s="2">
        <v>500</v>
      </c>
    </row>
    <row r="69" spans="2:32" x14ac:dyDescent="0.2">
      <c r="B69" s="12">
        <v>154</v>
      </c>
      <c r="C69" s="2">
        <f>C68+Tabla315[[#This Row],[Incremento]]</f>
        <v>240256.1197708594</v>
      </c>
      <c r="D69" s="2">
        <v>500</v>
      </c>
      <c r="F69" s="12">
        <v>154</v>
      </c>
      <c r="G69" s="2">
        <f>G68+Tabla315[[#This Row],[Incremento]]</f>
        <v>112302.44790834376</v>
      </c>
      <c r="H69" s="2">
        <v>500</v>
      </c>
      <c r="J69" s="12">
        <v>154</v>
      </c>
      <c r="K69" s="2">
        <f>K68+Tabla315[[#This Row],[Incremento]]</f>
        <v>105193.91058264844</v>
      </c>
      <c r="L69" s="2">
        <v>500</v>
      </c>
      <c r="N69" s="12">
        <v>154</v>
      </c>
      <c r="O69" s="2">
        <f>O68+Tabla315[[#This Row],[Incremento]]</f>
        <v>808939.10582648439</v>
      </c>
      <c r="P69" s="2">
        <v>500</v>
      </c>
      <c r="R69" s="24">
        <v>154</v>
      </c>
      <c r="S69" s="19">
        <f>S68+Tabla315[[#This Row],[Incremento]]</f>
        <v>140736.59721112502</v>
      </c>
      <c r="T69" s="20">
        <v>500</v>
      </c>
      <c r="V69" s="12">
        <v>154</v>
      </c>
      <c r="W69" s="2">
        <f>W68+Tabla315[[#This Row],[Incremento]]</f>
        <v>254473.19442225</v>
      </c>
      <c r="X69" s="2">
        <v>500</v>
      </c>
      <c r="Z69" s="12">
        <v>154</v>
      </c>
      <c r="AA69" s="2">
        <f>AA68+Tabla315[[#This Row],[Incremento]]</f>
        <v>282907.34372503124</v>
      </c>
      <c r="AB69" s="2">
        <v>500</v>
      </c>
      <c r="AD69" s="12">
        <v>154</v>
      </c>
      <c r="AE69" s="2">
        <f>AE68+Tabla315[[#This Row],[Incremento]]</f>
        <v>140736.59721112502</v>
      </c>
      <c r="AF69" s="2">
        <v>500</v>
      </c>
    </row>
    <row r="70" spans="2:32" x14ac:dyDescent="0.2">
      <c r="B70" s="12">
        <v>155</v>
      </c>
      <c r="C70" s="2">
        <f>C69+Tabla315[[#This Row],[Incremento]]</f>
        <v>240756.1197708594</v>
      </c>
      <c r="D70" s="2">
        <v>500</v>
      </c>
      <c r="F70" s="12">
        <v>155</v>
      </c>
      <c r="G70" s="2">
        <f>G69+Tabla315[[#This Row],[Incremento]]</f>
        <v>112802.44790834376</v>
      </c>
      <c r="H70" s="2">
        <v>500</v>
      </c>
      <c r="J70" s="12">
        <v>155</v>
      </c>
      <c r="K70" s="2">
        <f>K69+Tabla315[[#This Row],[Incremento]]</f>
        <v>105693.91058264844</v>
      </c>
      <c r="L70" s="2">
        <v>500</v>
      </c>
      <c r="N70" s="12">
        <v>155</v>
      </c>
      <c r="O70" s="2">
        <f>O69+Tabla315[[#This Row],[Incremento]]</f>
        <v>809439.10582648439</v>
      </c>
      <c r="P70" s="2">
        <v>500</v>
      </c>
      <c r="R70" s="23">
        <v>155</v>
      </c>
      <c r="S70" s="17">
        <f>S69+Tabla315[[#This Row],[Incremento]]</f>
        <v>141236.59721112502</v>
      </c>
      <c r="T70" s="18">
        <v>500</v>
      </c>
      <c r="V70" s="12">
        <v>155</v>
      </c>
      <c r="W70" s="2">
        <f>W69+Tabla315[[#This Row],[Incremento]]</f>
        <v>254973.19442225</v>
      </c>
      <c r="X70" s="2">
        <v>500</v>
      </c>
      <c r="Z70" s="12">
        <v>155</v>
      </c>
      <c r="AA70" s="2">
        <f>AA69+Tabla315[[#This Row],[Incremento]]</f>
        <v>283407.34372503124</v>
      </c>
      <c r="AB70" s="2">
        <v>500</v>
      </c>
      <c r="AD70" s="12">
        <v>155</v>
      </c>
      <c r="AE70" s="2">
        <f>AE69+Tabla315[[#This Row],[Incremento]]</f>
        <v>141236.59721112502</v>
      </c>
      <c r="AF70" s="2">
        <v>500</v>
      </c>
    </row>
    <row r="71" spans="2:32" x14ac:dyDescent="0.2">
      <c r="B71" s="12">
        <v>156</v>
      </c>
      <c r="C71" s="2">
        <f>C70+Tabla315[[#This Row],[Incremento]]</f>
        <v>241256.1197708594</v>
      </c>
      <c r="D71" s="2">
        <v>500</v>
      </c>
      <c r="F71" s="12">
        <v>156</v>
      </c>
      <c r="G71" s="2">
        <f>G70+Tabla315[[#This Row],[Incremento]]</f>
        <v>113302.44790834376</v>
      </c>
      <c r="H71" s="2">
        <v>500</v>
      </c>
      <c r="J71" s="12">
        <v>156</v>
      </c>
      <c r="K71" s="2">
        <f>K70+Tabla315[[#This Row],[Incremento]]</f>
        <v>106193.91058264844</v>
      </c>
      <c r="L71" s="2">
        <v>500</v>
      </c>
      <c r="N71" s="12">
        <v>156</v>
      </c>
      <c r="O71" s="2">
        <f>O70+Tabla315[[#This Row],[Incremento]]</f>
        <v>809939.10582648439</v>
      </c>
      <c r="P71" s="2">
        <v>500</v>
      </c>
      <c r="R71" s="24">
        <v>156</v>
      </c>
      <c r="S71" s="19">
        <f>S70+Tabla315[[#This Row],[Incremento]]</f>
        <v>141736.59721112502</v>
      </c>
      <c r="T71" s="20">
        <v>500</v>
      </c>
      <c r="V71" s="12">
        <v>156</v>
      </c>
      <c r="W71" s="2">
        <f>W70+Tabla315[[#This Row],[Incremento]]</f>
        <v>255473.19442225</v>
      </c>
      <c r="X71" s="2">
        <v>500</v>
      </c>
      <c r="Z71" s="12">
        <v>156</v>
      </c>
      <c r="AA71" s="2">
        <f>AA70+Tabla315[[#This Row],[Incremento]]</f>
        <v>283907.34372503124</v>
      </c>
      <c r="AB71" s="2">
        <v>500</v>
      </c>
      <c r="AD71" s="12">
        <v>156</v>
      </c>
      <c r="AE71" s="2">
        <f>AE70+Tabla315[[#This Row],[Incremento]]</f>
        <v>141736.59721112502</v>
      </c>
      <c r="AF71" s="2">
        <v>500</v>
      </c>
    </row>
    <row r="72" spans="2:32" x14ac:dyDescent="0.2">
      <c r="B72" s="12">
        <v>157</v>
      </c>
      <c r="C72" s="2">
        <f>C71+Tabla315[[#This Row],[Incremento]]</f>
        <v>241756.1197708594</v>
      </c>
      <c r="D72" s="2">
        <v>500</v>
      </c>
      <c r="F72" s="12">
        <v>157</v>
      </c>
      <c r="G72" s="2">
        <f>G71+Tabla315[[#This Row],[Incremento]]</f>
        <v>113802.44790834376</v>
      </c>
      <c r="H72" s="2">
        <v>500</v>
      </c>
      <c r="J72" s="12">
        <v>157</v>
      </c>
      <c r="K72" s="2">
        <f>K71+Tabla315[[#This Row],[Incremento]]</f>
        <v>106693.91058264844</v>
      </c>
      <c r="L72" s="2">
        <v>500</v>
      </c>
      <c r="N72" s="12">
        <v>157</v>
      </c>
      <c r="O72" s="2">
        <f>O71+Tabla315[[#This Row],[Incremento]]</f>
        <v>810439.10582648439</v>
      </c>
      <c r="P72" s="2">
        <v>500</v>
      </c>
      <c r="R72" s="23">
        <v>157</v>
      </c>
      <c r="S72" s="17">
        <f>S71+Tabla315[[#This Row],[Incremento]]</f>
        <v>142236.59721112502</v>
      </c>
      <c r="T72" s="18">
        <v>500</v>
      </c>
      <c r="V72" s="12">
        <v>157</v>
      </c>
      <c r="W72" s="2">
        <f>W71+Tabla315[[#This Row],[Incremento]]</f>
        <v>255973.19442225</v>
      </c>
      <c r="X72" s="2">
        <v>500</v>
      </c>
      <c r="Z72" s="12">
        <v>157</v>
      </c>
      <c r="AA72" s="2">
        <f>AA71+Tabla315[[#This Row],[Incremento]]</f>
        <v>284407.34372503124</v>
      </c>
      <c r="AB72" s="2">
        <v>500</v>
      </c>
      <c r="AD72" s="12">
        <v>157</v>
      </c>
      <c r="AE72" s="2">
        <f>AE71+Tabla315[[#This Row],[Incremento]]</f>
        <v>142236.59721112502</v>
      </c>
      <c r="AF72" s="2">
        <v>500</v>
      </c>
    </row>
    <row r="73" spans="2:32" x14ac:dyDescent="0.2">
      <c r="B73" s="12">
        <v>158</v>
      </c>
      <c r="C73" s="2">
        <f>C72+Tabla315[[#This Row],[Incremento]]</f>
        <v>242256.1197708594</v>
      </c>
      <c r="D73" s="2">
        <v>500</v>
      </c>
      <c r="F73" s="12">
        <v>158</v>
      </c>
      <c r="G73" s="2">
        <f>G72+Tabla315[[#This Row],[Incremento]]</f>
        <v>114302.44790834376</v>
      </c>
      <c r="H73" s="2">
        <v>500</v>
      </c>
      <c r="J73" s="12">
        <v>158</v>
      </c>
      <c r="K73" s="2">
        <f>K72+Tabla315[[#This Row],[Incremento]]</f>
        <v>107193.91058264844</v>
      </c>
      <c r="L73" s="2">
        <v>500</v>
      </c>
      <c r="N73" s="12">
        <v>158</v>
      </c>
      <c r="O73" s="2">
        <f>O72+Tabla315[[#This Row],[Incremento]]</f>
        <v>810939.10582648439</v>
      </c>
      <c r="P73" s="2">
        <v>500</v>
      </c>
      <c r="R73" s="24">
        <v>158</v>
      </c>
      <c r="S73" s="19">
        <f>S72+Tabla315[[#This Row],[Incremento]]</f>
        <v>142736.59721112502</v>
      </c>
      <c r="T73" s="20">
        <v>500</v>
      </c>
      <c r="V73" s="12">
        <v>158</v>
      </c>
      <c r="W73" s="2">
        <f>W72+Tabla315[[#This Row],[Incremento]]</f>
        <v>256473.19442225</v>
      </c>
      <c r="X73" s="2">
        <v>500</v>
      </c>
      <c r="Z73" s="12">
        <v>158</v>
      </c>
      <c r="AA73" s="2">
        <f>AA72+Tabla315[[#This Row],[Incremento]]</f>
        <v>284907.34372503124</v>
      </c>
      <c r="AB73" s="2">
        <v>500</v>
      </c>
      <c r="AD73" s="12">
        <v>158</v>
      </c>
      <c r="AE73" s="2">
        <f>AE72+Tabla315[[#This Row],[Incremento]]</f>
        <v>142736.59721112502</v>
      </c>
      <c r="AF73" s="2">
        <v>500</v>
      </c>
    </row>
    <row r="74" spans="2:32" x14ac:dyDescent="0.2">
      <c r="B74" s="12">
        <v>159</v>
      </c>
      <c r="C74" s="2">
        <f>C73+Tabla315[[#This Row],[Incremento]]</f>
        <v>242756.1197708594</v>
      </c>
      <c r="D74" s="2">
        <v>500</v>
      </c>
      <c r="F74" s="12">
        <v>159</v>
      </c>
      <c r="G74" s="2">
        <f>G73+Tabla315[[#This Row],[Incremento]]</f>
        <v>114802.44790834376</v>
      </c>
      <c r="H74" s="2">
        <v>500</v>
      </c>
      <c r="J74" s="12">
        <v>159</v>
      </c>
      <c r="K74" s="2">
        <f>K73+Tabla315[[#This Row],[Incremento]]</f>
        <v>107693.91058264844</v>
      </c>
      <c r="L74" s="2">
        <v>500</v>
      </c>
      <c r="N74" s="12">
        <v>159</v>
      </c>
      <c r="O74" s="2">
        <f>O73+Tabla315[[#This Row],[Incremento]]</f>
        <v>811439.10582648439</v>
      </c>
      <c r="P74" s="2">
        <v>500</v>
      </c>
      <c r="R74" s="23">
        <v>159</v>
      </c>
      <c r="S74" s="17">
        <f>S73+Tabla315[[#This Row],[Incremento]]</f>
        <v>143236.59721112502</v>
      </c>
      <c r="T74" s="18">
        <v>500</v>
      </c>
      <c r="V74" s="12">
        <v>159</v>
      </c>
      <c r="W74" s="2">
        <f>W73+Tabla315[[#This Row],[Incremento]]</f>
        <v>256973.19442225</v>
      </c>
      <c r="X74" s="2">
        <v>500</v>
      </c>
      <c r="Z74" s="12">
        <v>159</v>
      </c>
      <c r="AA74" s="2">
        <f>AA73+Tabla315[[#This Row],[Incremento]]</f>
        <v>285407.34372503124</v>
      </c>
      <c r="AB74" s="2">
        <v>500</v>
      </c>
      <c r="AD74" s="12">
        <v>159</v>
      </c>
      <c r="AE74" s="2">
        <f>AE73+Tabla315[[#This Row],[Incremento]]</f>
        <v>143236.59721112502</v>
      </c>
      <c r="AF74" s="2">
        <v>500</v>
      </c>
    </row>
    <row r="75" spans="2:32" x14ac:dyDescent="0.2">
      <c r="B75" s="12">
        <v>160</v>
      </c>
      <c r="C75" s="2">
        <f>C74+Tabla315[[#This Row],[Incremento]]</f>
        <v>243256.1197708594</v>
      </c>
      <c r="D75" s="2">
        <v>500</v>
      </c>
      <c r="F75" s="12">
        <v>160</v>
      </c>
      <c r="G75" s="2">
        <f>G74+Tabla315[[#This Row],[Incremento]]</f>
        <v>115302.44790834376</v>
      </c>
      <c r="H75" s="2">
        <v>500</v>
      </c>
      <c r="J75" s="12">
        <v>160</v>
      </c>
      <c r="K75" s="2">
        <f>K74+Tabla315[[#This Row],[Incremento]]</f>
        <v>108193.91058264844</v>
      </c>
      <c r="L75" s="2">
        <v>500</v>
      </c>
      <c r="N75" s="12">
        <v>160</v>
      </c>
      <c r="O75" s="2">
        <f>O74+Tabla315[[#This Row],[Incremento]]</f>
        <v>811939.10582648439</v>
      </c>
      <c r="P75" s="2">
        <v>500</v>
      </c>
      <c r="R75" s="24">
        <v>160</v>
      </c>
      <c r="S75" s="19">
        <f>S74+Tabla315[[#This Row],[Incremento]]</f>
        <v>143736.59721112502</v>
      </c>
      <c r="T75" s="20">
        <v>500</v>
      </c>
      <c r="V75" s="12">
        <v>160</v>
      </c>
      <c r="W75" s="2">
        <f>W74+Tabla315[[#This Row],[Incremento]]</f>
        <v>257473.19442225</v>
      </c>
      <c r="X75" s="2">
        <v>500</v>
      </c>
      <c r="Z75" s="12">
        <v>160</v>
      </c>
      <c r="AA75" s="2">
        <f>AA74+Tabla315[[#This Row],[Incremento]]</f>
        <v>285907.34372503124</v>
      </c>
      <c r="AB75" s="2">
        <v>500</v>
      </c>
      <c r="AD75" s="12">
        <v>160</v>
      </c>
      <c r="AE75" s="2">
        <f>AE74+Tabla315[[#This Row],[Incremento]]</f>
        <v>143736.59721112502</v>
      </c>
      <c r="AF75" s="2">
        <v>500</v>
      </c>
    </row>
    <row r="76" spans="2:32" x14ac:dyDescent="0.2">
      <c r="B76" s="12">
        <v>161</v>
      </c>
      <c r="C76" s="2">
        <f>C75+Tabla315[[#This Row],[Incremento]]</f>
        <v>243756.1197708594</v>
      </c>
      <c r="D76" s="2">
        <v>500</v>
      </c>
      <c r="F76" s="12">
        <v>161</v>
      </c>
      <c r="G76" s="2">
        <f>G75+Tabla315[[#This Row],[Incremento]]</f>
        <v>115802.44790834376</v>
      </c>
      <c r="H76" s="2">
        <v>500</v>
      </c>
      <c r="J76" s="12">
        <v>161</v>
      </c>
      <c r="K76" s="2">
        <f>K75+Tabla315[[#This Row],[Incremento]]</f>
        <v>108693.91058264844</v>
      </c>
      <c r="L76" s="2">
        <v>500</v>
      </c>
      <c r="N76" s="12">
        <v>161</v>
      </c>
      <c r="O76" s="2">
        <f>O75+Tabla315[[#This Row],[Incremento]]</f>
        <v>812439.10582648439</v>
      </c>
      <c r="P76" s="2">
        <v>500</v>
      </c>
      <c r="R76" s="23">
        <v>161</v>
      </c>
      <c r="S76" s="17">
        <f>S75+Tabla315[[#This Row],[Incremento]]</f>
        <v>144236.59721112502</v>
      </c>
      <c r="T76" s="18">
        <v>500</v>
      </c>
      <c r="V76" s="12">
        <v>161</v>
      </c>
      <c r="W76" s="2">
        <f>W75+Tabla315[[#This Row],[Incremento]]</f>
        <v>257973.19442225</v>
      </c>
      <c r="X76" s="2">
        <v>500</v>
      </c>
      <c r="Z76" s="12">
        <v>161</v>
      </c>
      <c r="AA76" s="2">
        <f>AA75+Tabla315[[#This Row],[Incremento]]</f>
        <v>286407.34372503124</v>
      </c>
      <c r="AB76" s="2">
        <v>500</v>
      </c>
      <c r="AD76" s="12">
        <v>161</v>
      </c>
      <c r="AE76" s="2">
        <f>AE75+Tabla315[[#This Row],[Incremento]]</f>
        <v>144236.59721112502</v>
      </c>
      <c r="AF76" s="2">
        <v>500</v>
      </c>
    </row>
    <row r="77" spans="2:32" x14ac:dyDescent="0.2">
      <c r="B77" s="12">
        <v>162</v>
      </c>
      <c r="C77" s="2">
        <f>C76+Tabla315[[#This Row],[Incremento]]</f>
        <v>244256.1197708594</v>
      </c>
      <c r="D77" s="2">
        <v>500</v>
      </c>
      <c r="F77" s="12">
        <v>162</v>
      </c>
      <c r="G77" s="2">
        <f>G76+Tabla315[[#This Row],[Incremento]]</f>
        <v>116302.44790834376</v>
      </c>
      <c r="H77" s="2">
        <v>500</v>
      </c>
      <c r="J77" s="12">
        <v>162</v>
      </c>
      <c r="K77" s="2">
        <f>K76+Tabla315[[#This Row],[Incremento]]</f>
        <v>109193.91058264844</v>
      </c>
      <c r="L77" s="2">
        <v>500</v>
      </c>
      <c r="N77" s="12">
        <v>162</v>
      </c>
      <c r="O77" s="2">
        <f>O76+Tabla315[[#This Row],[Incremento]]</f>
        <v>812939.10582648439</v>
      </c>
      <c r="P77" s="2">
        <v>500</v>
      </c>
      <c r="R77" s="24">
        <v>162</v>
      </c>
      <c r="S77" s="19">
        <f>S76+Tabla315[[#This Row],[Incremento]]</f>
        <v>144736.59721112502</v>
      </c>
      <c r="T77" s="20">
        <v>500</v>
      </c>
      <c r="V77" s="12">
        <v>162</v>
      </c>
      <c r="W77" s="2">
        <f>W76+Tabla315[[#This Row],[Incremento]]</f>
        <v>258473.19442225</v>
      </c>
      <c r="X77" s="2">
        <v>500</v>
      </c>
      <c r="Z77" s="12">
        <v>162</v>
      </c>
      <c r="AA77" s="2">
        <f>AA76+Tabla315[[#This Row],[Incremento]]</f>
        <v>286907.34372503124</v>
      </c>
      <c r="AB77" s="2">
        <v>500</v>
      </c>
      <c r="AD77" s="12">
        <v>162</v>
      </c>
      <c r="AE77" s="2">
        <f>AE76+Tabla315[[#This Row],[Incremento]]</f>
        <v>144736.59721112502</v>
      </c>
      <c r="AF77" s="2">
        <v>500</v>
      </c>
    </row>
    <row r="78" spans="2:32" x14ac:dyDescent="0.2">
      <c r="B78" s="12">
        <v>163</v>
      </c>
      <c r="C78" s="2">
        <f>C77+Tabla315[[#This Row],[Incremento]]</f>
        <v>244756.1197708594</v>
      </c>
      <c r="D78" s="2">
        <v>500</v>
      </c>
      <c r="F78" s="12">
        <v>163</v>
      </c>
      <c r="G78" s="2">
        <f>G77+Tabla315[[#This Row],[Incremento]]</f>
        <v>116802.44790834376</v>
      </c>
      <c r="H78" s="2">
        <v>500</v>
      </c>
      <c r="J78" s="12">
        <v>163</v>
      </c>
      <c r="K78" s="2">
        <f>K77+Tabla315[[#This Row],[Incremento]]</f>
        <v>109693.91058264844</v>
      </c>
      <c r="L78" s="2">
        <v>500</v>
      </c>
      <c r="N78" s="12">
        <v>163</v>
      </c>
      <c r="O78" s="2">
        <f>O77+Tabla315[[#This Row],[Incremento]]</f>
        <v>813439.10582648439</v>
      </c>
      <c r="P78" s="2">
        <v>500</v>
      </c>
      <c r="R78" s="23">
        <v>163</v>
      </c>
      <c r="S78" s="17">
        <f>S77+Tabla315[[#This Row],[Incremento]]</f>
        <v>145236.59721112502</v>
      </c>
      <c r="T78" s="18">
        <v>500</v>
      </c>
      <c r="V78" s="12">
        <v>163</v>
      </c>
      <c r="W78" s="2">
        <f>W77+Tabla315[[#This Row],[Incremento]]</f>
        <v>258973.19442225</v>
      </c>
      <c r="X78" s="2">
        <v>500</v>
      </c>
      <c r="Z78" s="12">
        <v>163</v>
      </c>
      <c r="AA78" s="2">
        <f>AA77+Tabla315[[#This Row],[Incremento]]</f>
        <v>287407.34372503124</v>
      </c>
      <c r="AB78" s="2">
        <v>500</v>
      </c>
      <c r="AD78" s="12">
        <v>163</v>
      </c>
      <c r="AE78" s="2">
        <f>AE77+Tabla315[[#This Row],[Incremento]]</f>
        <v>145236.59721112502</v>
      </c>
      <c r="AF78" s="2">
        <v>500</v>
      </c>
    </row>
    <row r="79" spans="2:32" x14ac:dyDescent="0.2">
      <c r="B79" s="12">
        <v>164</v>
      </c>
      <c r="C79" s="2">
        <f>C78+Tabla315[[#This Row],[Incremento]]</f>
        <v>245256.1197708594</v>
      </c>
      <c r="D79" s="2">
        <v>500</v>
      </c>
      <c r="F79" s="12">
        <v>164</v>
      </c>
      <c r="G79" s="2">
        <f>G78+Tabla315[[#This Row],[Incremento]]</f>
        <v>117302.44790834376</v>
      </c>
      <c r="H79" s="2">
        <v>500</v>
      </c>
      <c r="J79" s="12">
        <v>164</v>
      </c>
      <c r="K79" s="2">
        <f>K78+Tabla315[[#This Row],[Incremento]]</f>
        <v>110193.91058264844</v>
      </c>
      <c r="L79" s="2">
        <v>500</v>
      </c>
      <c r="N79" s="12">
        <v>164</v>
      </c>
      <c r="O79" s="2">
        <f>O78+Tabla315[[#This Row],[Incremento]]</f>
        <v>813939.10582648439</v>
      </c>
      <c r="P79" s="2">
        <v>500</v>
      </c>
      <c r="R79" s="24">
        <v>164</v>
      </c>
      <c r="S79" s="19">
        <f>S78+Tabla315[[#This Row],[Incremento]]</f>
        <v>145736.59721112502</v>
      </c>
      <c r="T79" s="20">
        <v>500</v>
      </c>
      <c r="V79" s="12">
        <v>164</v>
      </c>
      <c r="W79" s="2">
        <f>W78+Tabla315[[#This Row],[Incremento]]</f>
        <v>259473.19442225</v>
      </c>
      <c r="X79" s="2">
        <v>500</v>
      </c>
      <c r="Z79" s="12">
        <v>164</v>
      </c>
      <c r="AA79" s="2">
        <f>AA78+Tabla315[[#This Row],[Incremento]]</f>
        <v>287907.34372503124</v>
      </c>
      <c r="AB79" s="2">
        <v>500</v>
      </c>
      <c r="AD79" s="12">
        <v>164</v>
      </c>
      <c r="AE79" s="2">
        <f>AE78+Tabla315[[#This Row],[Incremento]]</f>
        <v>145736.59721112502</v>
      </c>
      <c r="AF79" s="2">
        <v>500</v>
      </c>
    </row>
    <row r="80" spans="2:32" x14ac:dyDescent="0.2">
      <c r="B80" s="12">
        <v>165</v>
      </c>
      <c r="C80" s="2">
        <f>C79+Tabla315[[#This Row],[Incremento]]</f>
        <v>245756.1197708594</v>
      </c>
      <c r="D80" s="2">
        <v>500</v>
      </c>
      <c r="F80" s="12">
        <v>165</v>
      </c>
      <c r="G80" s="2">
        <f>G79+Tabla315[[#This Row],[Incremento]]</f>
        <v>117802.44790834376</v>
      </c>
      <c r="H80" s="2">
        <v>500</v>
      </c>
      <c r="J80" s="12">
        <v>165</v>
      </c>
      <c r="K80" s="2">
        <f>K79+Tabla315[[#This Row],[Incremento]]</f>
        <v>110693.91058264844</v>
      </c>
      <c r="L80" s="2">
        <v>500</v>
      </c>
      <c r="N80" s="12">
        <v>165</v>
      </c>
      <c r="O80" s="2">
        <f>O79+Tabla315[[#This Row],[Incremento]]</f>
        <v>814439.10582648439</v>
      </c>
      <c r="P80" s="2">
        <v>500</v>
      </c>
      <c r="R80" s="23">
        <v>165</v>
      </c>
      <c r="S80" s="17">
        <f>S79+Tabla315[[#This Row],[Incremento]]</f>
        <v>146236.59721112502</v>
      </c>
      <c r="T80" s="18">
        <v>500</v>
      </c>
      <c r="V80" s="12">
        <v>165</v>
      </c>
      <c r="W80" s="2">
        <f>W79+Tabla315[[#This Row],[Incremento]]</f>
        <v>259973.19442225</v>
      </c>
      <c r="X80" s="2">
        <v>500</v>
      </c>
      <c r="Z80" s="12">
        <v>165</v>
      </c>
      <c r="AA80" s="2">
        <f>AA79+Tabla315[[#This Row],[Incremento]]</f>
        <v>288407.34372503124</v>
      </c>
      <c r="AB80" s="2">
        <v>500</v>
      </c>
      <c r="AD80" s="12">
        <v>165</v>
      </c>
      <c r="AE80" s="2">
        <f>AE79+Tabla315[[#This Row],[Incremento]]</f>
        <v>146236.59721112502</v>
      </c>
      <c r="AF80" s="2">
        <v>500</v>
      </c>
    </row>
    <row r="81" spans="2:32" x14ac:dyDescent="0.2">
      <c r="B81" s="12">
        <v>166</v>
      </c>
      <c r="C81" s="2">
        <f>C80+Tabla315[[#This Row],[Incremento]]</f>
        <v>246256.1197708594</v>
      </c>
      <c r="D81" s="2">
        <v>500</v>
      </c>
      <c r="F81" s="12">
        <v>166</v>
      </c>
      <c r="G81" s="2">
        <f>G80+Tabla315[[#This Row],[Incremento]]</f>
        <v>118302.44790834376</v>
      </c>
      <c r="H81" s="2">
        <v>500</v>
      </c>
      <c r="J81" s="12">
        <v>166</v>
      </c>
      <c r="K81" s="2">
        <f>K80+Tabla315[[#This Row],[Incremento]]</f>
        <v>111193.91058264844</v>
      </c>
      <c r="L81" s="2">
        <v>500</v>
      </c>
      <c r="N81" s="12">
        <v>166</v>
      </c>
      <c r="O81" s="2">
        <f>O80+Tabla315[[#This Row],[Incremento]]</f>
        <v>814939.10582648439</v>
      </c>
      <c r="P81" s="2">
        <v>500</v>
      </c>
      <c r="R81" s="24">
        <v>166</v>
      </c>
      <c r="S81" s="19">
        <f>S80+Tabla315[[#This Row],[Incremento]]</f>
        <v>146736.59721112502</v>
      </c>
      <c r="T81" s="20">
        <v>500</v>
      </c>
      <c r="V81" s="12">
        <v>166</v>
      </c>
      <c r="W81" s="2">
        <f>W80+Tabla315[[#This Row],[Incremento]]</f>
        <v>260473.19442225</v>
      </c>
      <c r="X81" s="2">
        <v>500</v>
      </c>
      <c r="Z81" s="12">
        <v>166</v>
      </c>
      <c r="AA81" s="2">
        <f>AA80+Tabla315[[#This Row],[Incremento]]</f>
        <v>288907.34372503124</v>
      </c>
      <c r="AB81" s="2">
        <v>500</v>
      </c>
      <c r="AD81" s="12">
        <v>166</v>
      </c>
      <c r="AE81" s="2">
        <f>AE80+Tabla315[[#This Row],[Incremento]]</f>
        <v>146736.59721112502</v>
      </c>
      <c r="AF81" s="2">
        <v>500</v>
      </c>
    </row>
    <row r="82" spans="2:32" x14ac:dyDescent="0.2">
      <c r="B82" s="12">
        <v>167</v>
      </c>
      <c r="C82" s="2">
        <f>C81+Tabla315[[#This Row],[Incremento]]</f>
        <v>246756.1197708594</v>
      </c>
      <c r="D82" s="2">
        <v>500</v>
      </c>
      <c r="F82" s="12">
        <v>167</v>
      </c>
      <c r="G82" s="2">
        <f>G81+Tabla315[[#This Row],[Incremento]]</f>
        <v>118802.44790834376</v>
      </c>
      <c r="H82" s="2">
        <v>500</v>
      </c>
      <c r="J82" s="12">
        <v>167</v>
      </c>
      <c r="K82" s="2">
        <f>K81+Tabla315[[#This Row],[Incremento]]</f>
        <v>111693.91058264844</v>
      </c>
      <c r="L82" s="2">
        <v>500</v>
      </c>
      <c r="N82" s="12">
        <v>167</v>
      </c>
      <c r="O82" s="2">
        <f>O81+Tabla315[[#This Row],[Incremento]]</f>
        <v>815439.10582648439</v>
      </c>
      <c r="P82" s="2">
        <v>500</v>
      </c>
      <c r="R82" s="23">
        <v>167</v>
      </c>
      <c r="S82" s="17">
        <f>S81+Tabla315[[#This Row],[Incremento]]</f>
        <v>147236.59721112502</v>
      </c>
      <c r="T82" s="18">
        <v>500</v>
      </c>
      <c r="V82" s="12">
        <v>167</v>
      </c>
      <c r="W82" s="2">
        <f>W81+Tabla315[[#This Row],[Incremento]]</f>
        <v>260973.19442225</v>
      </c>
      <c r="X82" s="2">
        <v>500</v>
      </c>
      <c r="Z82" s="12">
        <v>167</v>
      </c>
      <c r="AA82" s="2">
        <f>AA81+Tabla315[[#This Row],[Incremento]]</f>
        <v>289407.34372503124</v>
      </c>
      <c r="AB82" s="2">
        <v>500</v>
      </c>
      <c r="AD82" s="12">
        <v>167</v>
      </c>
      <c r="AE82" s="2">
        <f>AE81+Tabla315[[#This Row],[Incremento]]</f>
        <v>147236.59721112502</v>
      </c>
      <c r="AF82" s="2">
        <v>500</v>
      </c>
    </row>
    <row r="83" spans="2:32" x14ac:dyDescent="0.2">
      <c r="B83" s="12">
        <v>168</v>
      </c>
      <c r="C83" s="2">
        <f>C82+Tabla315[[#This Row],[Incremento]]</f>
        <v>247256.1197708594</v>
      </c>
      <c r="D83" s="2">
        <v>500</v>
      </c>
      <c r="F83" s="12">
        <v>168</v>
      </c>
      <c r="G83" s="2">
        <f>G82+Tabla315[[#This Row],[Incremento]]</f>
        <v>119302.44790834376</v>
      </c>
      <c r="H83" s="2">
        <v>500</v>
      </c>
      <c r="J83" s="12">
        <v>168</v>
      </c>
      <c r="K83" s="2">
        <f>K82+Tabla315[[#This Row],[Incremento]]</f>
        <v>112193.91058264844</v>
      </c>
      <c r="L83" s="2">
        <v>500</v>
      </c>
      <c r="N83" s="12">
        <v>168</v>
      </c>
      <c r="O83" s="2">
        <f>O82+Tabla315[[#This Row],[Incremento]]</f>
        <v>815939.10582648439</v>
      </c>
      <c r="P83" s="2">
        <v>500</v>
      </c>
      <c r="R83" s="24">
        <v>168</v>
      </c>
      <c r="S83" s="19">
        <f>S82+Tabla315[[#This Row],[Incremento]]</f>
        <v>147736.59721112502</v>
      </c>
      <c r="T83" s="20">
        <v>500</v>
      </c>
      <c r="V83" s="12">
        <v>168</v>
      </c>
      <c r="W83" s="2">
        <f>W82+Tabla315[[#This Row],[Incremento]]</f>
        <v>261473.19442225</v>
      </c>
      <c r="X83" s="2">
        <v>500</v>
      </c>
      <c r="Z83" s="12">
        <v>168</v>
      </c>
      <c r="AA83" s="2">
        <f>AA82+Tabla315[[#This Row],[Incremento]]</f>
        <v>289907.34372503124</v>
      </c>
      <c r="AB83" s="2">
        <v>500</v>
      </c>
      <c r="AD83" s="12">
        <v>168</v>
      </c>
      <c r="AE83" s="2">
        <f>AE82+Tabla315[[#This Row],[Incremento]]</f>
        <v>147736.59721112502</v>
      </c>
      <c r="AF83" s="2">
        <v>500</v>
      </c>
    </row>
    <row r="84" spans="2:32" x14ac:dyDescent="0.2">
      <c r="B84" s="12">
        <v>169</v>
      </c>
      <c r="C84" s="2">
        <f>C83+Tabla315[[#This Row],[Incremento]]</f>
        <v>247756.1197708594</v>
      </c>
      <c r="D84" s="2">
        <v>500</v>
      </c>
      <c r="F84" s="12">
        <v>169</v>
      </c>
      <c r="G84" s="2">
        <f>G83+Tabla315[[#This Row],[Incremento]]</f>
        <v>119802.44790834376</v>
      </c>
      <c r="H84" s="2">
        <v>500</v>
      </c>
      <c r="J84" s="12">
        <v>169</v>
      </c>
      <c r="K84" s="2">
        <f>K83+Tabla315[[#This Row],[Incremento]]</f>
        <v>112693.91058264844</v>
      </c>
      <c r="L84" s="2">
        <v>500</v>
      </c>
      <c r="N84" s="12">
        <v>169</v>
      </c>
      <c r="O84" s="2">
        <f>O83+Tabla315[[#This Row],[Incremento]]</f>
        <v>816439.10582648439</v>
      </c>
      <c r="P84" s="2">
        <v>500</v>
      </c>
      <c r="R84" s="23">
        <v>169</v>
      </c>
      <c r="S84" s="17">
        <f>S83+Tabla315[[#This Row],[Incremento]]</f>
        <v>148236.59721112502</v>
      </c>
      <c r="T84" s="18">
        <v>500</v>
      </c>
      <c r="V84" s="12">
        <v>169</v>
      </c>
      <c r="W84" s="2">
        <f>W83+Tabla315[[#This Row],[Incremento]]</f>
        <v>261973.19442225</v>
      </c>
      <c r="X84" s="2">
        <v>500</v>
      </c>
      <c r="Z84" s="12">
        <v>169</v>
      </c>
      <c r="AA84" s="2">
        <f>AA83+Tabla315[[#This Row],[Incremento]]</f>
        <v>290407.34372503124</v>
      </c>
      <c r="AB84" s="2">
        <v>500</v>
      </c>
      <c r="AD84" s="12">
        <v>169</v>
      </c>
      <c r="AE84" s="2">
        <f>AE83+Tabla315[[#This Row],[Incremento]]</f>
        <v>148236.59721112502</v>
      </c>
      <c r="AF84" s="2">
        <v>500</v>
      </c>
    </row>
    <row r="85" spans="2:32" x14ac:dyDescent="0.2">
      <c r="B85" s="12">
        <v>170</v>
      </c>
      <c r="C85" s="2">
        <f>C84+Tabla315[[#This Row],[Incremento]]</f>
        <v>248256.1197708594</v>
      </c>
      <c r="D85" s="2">
        <v>500</v>
      </c>
      <c r="F85" s="12">
        <v>170</v>
      </c>
      <c r="G85" s="2">
        <f>G84+Tabla315[[#This Row],[Incremento]]</f>
        <v>120302.44790834376</v>
      </c>
      <c r="H85" s="2">
        <v>500</v>
      </c>
      <c r="J85" s="12">
        <v>170</v>
      </c>
      <c r="K85" s="2">
        <f>K84+Tabla315[[#This Row],[Incremento]]</f>
        <v>113193.91058264844</v>
      </c>
      <c r="L85" s="2">
        <v>500</v>
      </c>
      <c r="N85" s="12">
        <v>170</v>
      </c>
      <c r="O85" s="2">
        <f>O84+Tabla315[[#This Row],[Incremento]]</f>
        <v>816939.10582648439</v>
      </c>
      <c r="P85" s="2">
        <v>500</v>
      </c>
      <c r="R85" s="24">
        <v>170</v>
      </c>
      <c r="S85" s="19">
        <f>S84+Tabla315[[#This Row],[Incremento]]</f>
        <v>148736.59721112502</v>
      </c>
      <c r="T85" s="20">
        <v>500</v>
      </c>
      <c r="V85" s="12">
        <v>170</v>
      </c>
      <c r="W85" s="2">
        <f>W84+Tabla315[[#This Row],[Incremento]]</f>
        <v>262473.19442225003</v>
      </c>
      <c r="X85" s="2">
        <v>500</v>
      </c>
      <c r="Z85" s="12">
        <v>170</v>
      </c>
      <c r="AA85" s="2">
        <f>AA84+Tabla315[[#This Row],[Incremento]]</f>
        <v>290907.34372503124</v>
      </c>
      <c r="AB85" s="2">
        <v>500</v>
      </c>
      <c r="AD85" s="12">
        <v>170</v>
      </c>
      <c r="AE85" s="2">
        <f>AE84+Tabla315[[#This Row],[Incremento]]</f>
        <v>148736.59721112502</v>
      </c>
      <c r="AF85" s="2">
        <v>500</v>
      </c>
    </row>
    <row r="86" spans="2:32" x14ac:dyDescent="0.2">
      <c r="B86" s="12">
        <v>171</v>
      </c>
      <c r="C86" s="2">
        <f>C85+Tabla315[[#This Row],[Incremento]]</f>
        <v>248756.1197708594</v>
      </c>
      <c r="D86" s="2">
        <v>500</v>
      </c>
      <c r="F86" s="12">
        <v>171</v>
      </c>
      <c r="G86" s="2">
        <f>G85+Tabla315[[#This Row],[Incremento]]</f>
        <v>120802.44790834376</v>
      </c>
      <c r="H86" s="2">
        <v>500</v>
      </c>
      <c r="J86" s="12">
        <v>171</v>
      </c>
      <c r="K86" s="2">
        <f>K85+Tabla315[[#This Row],[Incremento]]</f>
        <v>113693.91058264844</v>
      </c>
      <c r="L86" s="2">
        <v>500</v>
      </c>
      <c r="N86" s="12">
        <v>171</v>
      </c>
      <c r="O86" s="2">
        <f>O85+Tabla315[[#This Row],[Incremento]]</f>
        <v>817439.10582648439</v>
      </c>
      <c r="P86" s="2">
        <v>500</v>
      </c>
      <c r="R86" s="23">
        <v>171</v>
      </c>
      <c r="S86" s="17">
        <f>S85+Tabla315[[#This Row],[Incremento]]</f>
        <v>149236.59721112502</v>
      </c>
      <c r="T86" s="18">
        <v>500</v>
      </c>
      <c r="V86" s="12">
        <v>171</v>
      </c>
      <c r="W86" s="2">
        <f>W85+Tabla315[[#This Row],[Incremento]]</f>
        <v>262973.19442225003</v>
      </c>
      <c r="X86" s="2">
        <v>500</v>
      </c>
      <c r="Z86" s="12">
        <v>171</v>
      </c>
      <c r="AA86" s="2">
        <f>AA85+Tabla315[[#This Row],[Incremento]]</f>
        <v>291407.34372503124</v>
      </c>
      <c r="AB86" s="2">
        <v>500</v>
      </c>
      <c r="AD86" s="12">
        <v>171</v>
      </c>
      <c r="AE86" s="2">
        <f>AE85+Tabla315[[#This Row],[Incremento]]</f>
        <v>149236.59721112502</v>
      </c>
      <c r="AF86" s="2">
        <v>500</v>
      </c>
    </row>
    <row r="87" spans="2:32" x14ac:dyDescent="0.2">
      <c r="B87" s="12">
        <v>172</v>
      </c>
      <c r="C87" s="2">
        <f>C86+Tabla315[[#This Row],[Incremento]]</f>
        <v>249256.1197708594</v>
      </c>
      <c r="D87" s="2">
        <v>500</v>
      </c>
      <c r="F87" s="12">
        <v>172</v>
      </c>
      <c r="G87" s="2">
        <f>G86+Tabla315[[#This Row],[Incremento]]</f>
        <v>121302.44790834376</v>
      </c>
      <c r="H87" s="2">
        <v>500</v>
      </c>
      <c r="J87" s="12">
        <v>172</v>
      </c>
      <c r="K87" s="2">
        <f>K86+Tabla315[[#This Row],[Incremento]]</f>
        <v>114193.91058264844</v>
      </c>
      <c r="L87" s="2">
        <v>500</v>
      </c>
      <c r="N87" s="12">
        <v>172</v>
      </c>
      <c r="O87" s="2">
        <f>O86+Tabla315[[#This Row],[Incremento]]</f>
        <v>817939.10582648439</v>
      </c>
      <c r="P87" s="2">
        <v>500</v>
      </c>
      <c r="R87" s="24">
        <v>172</v>
      </c>
      <c r="S87" s="19">
        <f>S86+Tabla315[[#This Row],[Incremento]]</f>
        <v>149736.59721112502</v>
      </c>
      <c r="T87" s="20">
        <v>500</v>
      </c>
      <c r="V87" s="12">
        <v>172</v>
      </c>
      <c r="W87" s="2">
        <f>W86+Tabla315[[#This Row],[Incremento]]</f>
        <v>263473.19442225003</v>
      </c>
      <c r="X87" s="2">
        <v>500</v>
      </c>
      <c r="Z87" s="12">
        <v>172</v>
      </c>
      <c r="AA87" s="2">
        <f>AA86+Tabla315[[#This Row],[Incremento]]</f>
        <v>291907.34372503124</v>
      </c>
      <c r="AB87" s="2">
        <v>500</v>
      </c>
      <c r="AD87" s="12">
        <v>172</v>
      </c>
      <c r="AE87" s="2">
        <f>AE86+Tabla315[[#This Row],[Incremento]]</f>
        <v>149736.59721112502</v>
      </c>
      <c r="AF87" s="2">
        <v>500</v>
      </c>
    </row>
    <row r="88" spans="2:32" x14ac:dyDescent="0.2">
      <c r="B88" s="12">
        <v>173</v>
      </c>
      <c r="C88" s="2">
        <f>C87+Tabla315[[#This Row],[Incremento]]</f>
        <v>249756.1197708594</v>
      </c>
      <c r="D88" s="2">
        <v>500</v>
      </c>
      <c r="F88" s="12">
        <v>173</v>
      </c>
      <c r="G88" s="2">
        <f>G87+Tabla315[[#This Row],[Incremento]]</f>
        <v>121802.44790834376</v>
      </c>
      <c r="H88" s="2">
        <v>500</v>
      </c>
      <c r="J88" s="12">
        <v>173</v>
      </c>
      <c r="K88" s="2">
        <f>K87+Tabla315[[#This Row],[Incremento]]</f>
        <v>114693.91058264844</v>
      </c>
      <c r="L88" s="2">
        <v>500</v>
      </c>
      <c r="N88" s="12">
        <v>173</v>
      </c>
      <c r="O88" s="2">
        <f>O87+Tabla315[[#This Row],[Incremento]]</f>
        <v>818439.10582648439</v>
      </c>
      <c r="P88" s="2">
        <v>500</v>
      </c>
      <c r="R88" s="23">
        <v>173</v>
      </c>
      <c r="S88" s="17">
        <f>S87+Tabla315[[#This Row],[Incremento]]</f>
        <v>150236.59721112502</v>
      </c>
      <c r="T88" s="18">
        <v>500</v>
      </c>
      <c r="V88" s="12">
        <v>173</v>
      </c>
      <c r="W88" s="2">
        <f>W87+Tabla315[[#This Row],[Incremento]]</f>
        <v>263973.19442225003</v>
      </c>
      <c r="X88" s="2">
        <v>500</v>
      </c>
      <c r="Z88" s="12">
        <v>173</v>
      </c>
      <c r="AA88" s="2">
        <f>AA87+Tabla315[[#This Row],[Incremento]]</f>
        <v>292407.34372503124</v>
      </c>
      <c r="AB88" s="2">
        <v>500</v>
      </c>
      <c r="AD88" s="12">
        <v>173</v>
      </c>
      <c r="AE88" s="2">
        <f>AE87+Tabla315[[#This Row],[Incremento]]</f>
        <v>150236.59721112502</v>
      </c>
      <c r="AF88" s="2">
        <v>500</v>
      </c>
    </row>
    <row r="89" spans="2:32" x14ac:dyDescent="0.2">
      <c r="B89" s="12">
        <v>174</v>
      </c>
      <c r="C89" s="2">
        <f>C88+Tabla315[[#This Row],[Incremento]]</f>
        <v>250256.1197708594</v>
      </c>
      <c r="D89" s="2">
        <v>500</v>
      </c>
      <c r="F89" s="12">
        <v>174</v>
      </c>
      <c r="G89" s="2">
        <f>G88+Tabla315[[#This Row],[Incremento]]</f>
        <v>122302.44790834376</v>
      </c>
      <c r="H89" s="2">
        <v>500</v>
      </c>
      <c r="J89" s="12">
        <v>174</v>
      </c>
      <c r="K89" s="2">
        <f>K88+Tabla315[[#This Row],[Incremento]]</f>
        <v>115193.91058264844</v>
      </c>
      <c r="L89" s="2">
        <v>500</v>
      </c>
      <c r="N89" s="12">
        <v>174</v>
      </c>
      <c r="O89" s="2">
        <f>O88+Tabla315[[#This Row],[Incremento]]</f>
        <v>818939.10582648439</v>
      </c>
      <c r="P89" s="2">
        <v>500</v>
      </c>
      <c r="R89" s="24">
        <v>174</v>
      </c>
      <c r="S89" s="19">
        <f>S88+Tabla315[[#This Row],[Incremento]]</f>
        <v>150736.59721112502</v>
      </c>
      <c r="T89" s="20">
        <v>500</v>
      </c>
      <c r="V89" s="12">
        <v>174</v>
      </c>
      <c r="W89" s="2">
        <f>W88+Tabla315[[#This Row],[Incremento]]</f>
        <v>264473.19442225003</v>
      </c>
      <c r="X89" s="2">
        <v>500</v>
      </c>
      <c r="Z89" s="12">
        <v>174</v>
      </c>
      <c r="AA89" s="2">
        <f>AA88+Tabla315[[#This Row],[Incremento]]</f>
        <v>292907.34372503124</v>
      </c>
      <c r="AB89" s="2">
        <v>500</v>
      </c>
      <c r="AD89" s="12">
        <v>174</v>
      </c>
      <c r="AE89" s="2">
        <f>AE88+Tabla315[[#This Row],[Incremento]]</f>
        <v>150736.59721112502</v>
      </c>
      <c r="AF89" s="2">
        <v>500</v>
      </c>
    </row>
    <row r="90" spans="2:32" x14ac:dyDescent="0.2">
      <c r="B90" s="12">
        <v>175</v>
      </c>
      <c r="C90" s="2">
        <f>C89+Tabla315[[#This Row],[Incremento]]</f>
        <v>250756.1197708594</v>
      </c>
      <c r="D90" s="2">
        <v>500</v>
      </c>
      <c r="F90" s="12">
        <v>175</v>
      </c>
      <c r="G90" s="2">
        <f>G89+Tabla315[[#This Row],[Incremento]]</f>
        <v>122802.44790834376</v>
      </c>
      <c r="H90" s="2">
        <v>500</v>
      </c>
      <c r="J90" s="12">
        <v>175</v>
      </c>
      <c r="K90" s="2">
        <f>K89+Tabla315[[#This Row],[Incremento]]</f>
        <v>115693.91058264844</v>
      </c>
      <c r="L90" s="2">
        <v>500</v>
      </c>
      <c r="N90" s="12">
        <v>175</v>
      </c>
      <c r="O90" s="2">
        <f>O89+Tabla315[[#This Row],[Incremento]]</f>
        <v>819439.10582648439</v>
      </c>
      <c r="P90" s="2">
        <v>500</v>
      </c>
      <c r="R90" s="23">
        <v>175</v>
      </c>
      <c r="S90" s="17">
        <f>S89+Tabla315[[#This Row],[Incremento]]</f>
        <v>151236.59721112502</v>
      </c>
      <c r="T90" s="18">
        <v>500</v>
      </c>
      <c r="V90" s="12">
        <v>175</v>
      </c>
      <c r="W90" s="2">
        <f>W89+Tabla315[[#This Row],[Incremento]]</f>
        <v>264973.19442225003</v>
      </c>
      <c r="X90" s="2">
        <v>500</v>
      </c>
      <c r="Z90" s="12">
        <v>175</v>
      </c>
      <c r="AA90" s="2">
        <f>AA89+Tabla315[[#This Row],[Incremento]]</f>
        <v>293407.34372503124</v>
      </c>
      <c r="AB90" s="2">
        <v>500</v>
      </c>
      <c r="AD90" s="12">
        <v>175</v>
      </c>
      <c r="AE90" s="2">
        <f>AE89+Tabla315[[#This Row],[Incremento]]</f>
        <v>151236.59721112502</v>
      </c>
      <c r="AF90" s="2">
        <v>500</v>
      </c>
    </row>
    <row r="91" spans="2:32" x14ac:dyDescent="0.2">
      <c r="B91" s="12">
        <v>176</v>
      </c>
      <c r="C91" s="2">
        <f>C90+Tabla315[[#This Row],[Incremento]]</f>
        <v>251256.1197708594</v>
      </c>
      <c r="D91" s="2">
        <v>500</v>
      </c>
      <c r="F91" s="12">
        <v>176</v>
      </c>
      <c r="G91" s="2">
        <f>G90+Tabla315[[#This Row],[Incremento]]</f>
        <v>123302.44790834376</v>
      </c>
      <c r="H91" s="2">
        <v>500</v>
      </c>
      <c r="J91" s="12">
        <v>176</v>
      </c>
      <c r="K91" s="2">
        <f>K90+Tabla315[[#This Row],[Incremento]]</f>
        <v>116193.91058264844</v>
      </c>
      <c r="L91" s="2">
        <v>500</v>
      </c>
      <c r="N91" s="12">
        <v>176</v>
      </c>
      <c r="O91" s="2">
        <f>O90+Tabla315[[#This Row],[Incremento]]</f>
        <v>819939.10582648439</v>
      </c>
      <c r="P91" s="2">
        <v>500</v>
      </c>
      <c r="R91" s="24">
        <v>176</v>
      </c>
      <c r="S91" s="19">
        <f>S90+Tabla315[[#This Row],[Incremento]]</f>
        <v>151736.59721112502</v>
      </c>
      <c r="T91" s="20">
        <v>500</v>
      </c>
      <c r="V91" s="12">
        <v>176</v>
      </c>
      <c r="W91" s="2">
        <f>W90+Tabla315[[#This Row],[Incremento]]</f>
        <v>265473.19442225003</v>
      </c>
      <c r="X91" s="2">
        <v>500</v>
      </c>
      <c r="Z91" s="12">
        <v>176</v>
      </c>
      <c r="AA91" s="2">
        <f>AA90+Tabla315[[#This Row],[Incremento]]</f>
        <v>293907.34372503124</v>
      </c>
      <c r="AB91" s="2">
        <v>500</v>
      </c>
      <c r="AD91" s="12">
        <v>176</v>
      </c>
      <c r="AE91" s="2">
        <f>AE90+Tabla315[[#This Row],[Incremento]]</f>
        <v>151736.59721112502</v>
      </c>
      <c r="AF91" s="2">
        <v>500</v>
      </c>
    </row>
    <row r="92" spans="2:32" x14ac:dyDescent="0.2">
      <c r="B92" s="12">
        <v>177</v>
      </c>
      <c r="C92" s="2">
        <f>C91+Tabla315[[#This Row],[Incremento]]</f>
        <v>251756.1197708594</v>
      </c>
      <c r="D92" s="2">
        <v>500</v>
      </c>
      <c r="F92" s="12">
        <v>177</v>
      </c>
      <c r="G92" s="2">
        <f>G91+Tabla315[[#This Row],[Incremento]]</f>
        <v>123802.44790834376</v>
      </c>
      <c r="H92" s="2">
        <v>500</v>
      </c>
      <c r="J92" s="12">
        <v>177</v>
      </c>
      <c r="K92" s="2">
        <f>K91+Tabla315[[#This Row],[Incremento]]</f>
        <v>116693.91058264844</v>
      </c>
      <c r="L92" s="2">
        <v>500</v>
      </c>
      <c r="N92" s="12">
        <v>177</v>
      </c>
      <c r="O92" s="2">
        <f>O91+Tabla315[[#This Row],[Incremento]]</f>
        <v>820439.10582648439</v>
      </c>
      <c r="P92" s="2">
        <v>500</v>
      </c>
      <c r="R92" s="23">
        <v>177</v>
      </c>
      <c r="S92" s="17">
        <f>S91+Tabla315[[#This Row],[Incremento]]</f>
        <v>152236.59721112502</v>
      </c>
      <c r="T92" s="18">
        <v>500</v>
      </c>
      <c r="V92" s="12">
        <v>177</v>
      </c>
      <c r="W92" s="2">
        <f>W91+Tabla315[[#This Row],[Incremento]]</f>
        <v>265973.19442225003</v>
      </c>
      <c r="X92" s="2">
        <v>500</v>
      </c>
      <c r="Z92" s="12">
        <v>177</v>
      </c>
      <c r="AA92" s="2">
        <f>AA91+Tabla315[[#This Row],[Incremento]]</f>
        <v>294407.34372503124</v>
      </c>
      <c r="AB92" s="2">
        <v>500</v>
      </c>
      <c r="AD92" s="12">
        <v>177</v>
      </c>
      <c r="AE92" s="2">
        <f>AE91+Tabla315[[#This Row],[Incremento]]</f>
        <v>152236.59721112502</v>
      </c>
      <c r="AF92" s="2">
        <v>500</v>
      </c>
    </row>
    <row r="93" spans="2:32" x14ac:dyDescent="0.2">
      <c r="B93" s="12">
        <v>178</v>
      </c>
      <c r="C93" s="2">
        <f>C92+Tabla315[[#This Row],[Incremento]]</f>
        <v>252256.1197708594</v>
      </c>
      <c r="D93" s="2">
        <v>500</v>
      </c>
      <c r="F93" s="12">
        <v>178</v>
      </c>
      <c r="G93" s="2">
        <f>G92+Tabla315[[#This Row],[Incremento]]</f>
        <v>124302.44790834376</v>
      </c>
      <c r="H93" s="2">
        <v>500</v>
      </c>
      <c r="J93" s="12">
        <v>178</v>
      </c>
      <c r="K93" s="2">
        <f>K92+Tabla315[[#This Row],[Incremento]]</f>
        <v>117193.91058264844</v>
      </c>
      <c r="L93" s="2">
        <v>500</v>
      </c>
      <c r="N93" s="12">
        <v>178</v>
      </c>
      <c r="O93" s="2">
        <f>O92+Tabla315[[#This Row],[Incremento]]</f>
        <v>820939.10582648439</v>
      </c>
      <c r="P93" s="2">
        <v>500</v>
      </c>
      <c r="R93" s="24">
        <v>178</v>
      </c>
      <c r="S93" s="19">
        <f>S92+Tabla315[[#This Row],[Incremento]]</f>
        <v>152736.59721112502</v>
      </c>
      <c r="T93" s="20">
        <v>500</v>
      </c>
      <c r="V93" s="12">
        <v>178</v>
      </c>
      <c r="W93" s="2">
        <f>W92+Tabla315[[#This Row],[Incremento]]</f>
        <v>266473.19442225003</v>
      </c>
      <c r="X93" s="2">
        <v>500</v>
      </c>
      <c r="Z93" s="12">
        <v>178</v>
      </c>
      <c r="AA93" s="2">
        <f>AA92+Tabla315[[#This Row],[Incremento]]</f>
        <v>294907.34372503124</v>
      </c>
      <c r="AB93" s="2">
        <v>500</v>
      </c>
      <c r="AD93" s="12">
        <v>178</v>
      </c>
      <c r="AE93" s="2">
        <f>AE92+Tabla315[[#This Row],[Incremento]]</f>
        <v>152736.59721112502</v>
      </c>
      <c r="AF93" s="2">
        <v>500</v>
      </c>
    </row>
    <row r="94" spans="2:32" x14ac:dyDescent="0.2">
      <c r="B94" s="12">
        <v>179</v>
      </c>
      <c r="C94" s="2">
        <f>C93+Tabla315[[#This Row],[Incremento]]</f>
        <v>252756.1197708594</v>
      </c>
      <c r="D94" s="2">
        <v>500</v>
      </c>
      <c r="F94" s="12">
        <v>179</v>
      </c>
      <c r="G94" s="2">
        <f>G93+Tabla315[[#This Row],[Incremento]]</f>
        <v>124802.44790834376</v>
      </c>
      <c r="H94" s="2">
        <v>500</v>
      </c>
      <c r="J94" s="12">
        <v>179</v>
      </c>
      <c r="K94" s="2">
        <f>K93+Tabla315[[#This Row],[Incremento]]</f>
        <v>117693.91058264844</v>
      </c>
      <c r="L94" s="2">
        <v>500</v>
      </c>
      <c r="N94" s="12">
        <v>179</v>
      </c>
      <c r="O94" s="2">
        <f>O93+Tabla315[[#This Row],[Incremento]]</f>
        <v>821439.10582648439</v>
      </c>
      <c r="P94" s="2">
        <v>500</v>
      </c>
      <c r="R94" s="23">
        <v>179</v>
      </c>
      <c r="S94" s="17">
        <f>S93+Tabla315[[#This Row],[Incremento]]</f>
        <v>153236.59721112502</v>
      </c>
      <c r="T94" s="18">
        <v>500</v>
      </c>
      <c r="V94" s="12">
        <v>179</v>
      </c>
      <c r="W94" s="2">
        <f>W93+Tabla315[[#This Row],[Incremento]]</f>
        <v>266973.19442225003</v>
      </c>
      <c r="X94" s="2">
        <v>500</v>
      </c>
      <c r="Z94" s="12">
        <v>179</v>
      </c>
      <c r="AA94" s="2">
        <f>AA93+Tabla315[[#This Row],[Incremento]]</f>
        <v>295407.34372503124</v>
      </c>
      <c r="AB94" s="2">
        <v>500</v>
      </c>
      <c r="AD94" s="12">
        <v>179</v>
      </c>
      <c r="AE94" s="2">
        <f>AE93+Tabla315[[#This Row],[Incremento]]</f>
        <v>153236.59721112502</v>
      </c>
      <c r="AF94" s="2">
        <v>500</v>
      </c>
    </row>
    <row r="95" spans="2:32" x14ac:dyDescent="0.2">
      <c r="B95" s="12">
        <v>180</v>
      </c>
      <c r="C95" s="2">
        <f>C94+Tabla315[[#This Row],[Incremento]]</f>
        <v>253256.1197708594</v>
      </c>
      <c r="D95" s="2">
        <v>500</v>
      </c>
      <c r="F95" s="12">
        <v>180</v>
      </c>
      <c r="G95" s="2">
        <f>G94+Tabla315[[#This Row],[Incremento]]</f>
        <v>125302.44790834376</v>
      </c>
      <c r="H95" s="2">
        <v>500</v>
      </c>
      <c r="J95" s="12">
        <v>180</v>
      </c>
      <c r="K95" s="2">
        <f>K94+Tabla315[[#This Row],[Incremento]]</f>
        <v>118193.91058264844</v>
      </c>
      <c r="L95" s="2">
        <v>500</v>
      </c>
      <c r="N95" s="12">
        <v>180</v>
      </c>
      <c r="O95" s="2">
        <f>O94+Tabla315[[#This Row],[Incremento]]</f>
        <v>821939.10582648439</v>
      </c>
      <c r="P95" s="2">
        <v>500</v>
      </c>
      <c r="R95" s="24">
        <v>180</v>
      </c>
      <c r="S95" s="19">
        <f>S94+Tabla315[[#This Row],[Incremento]]</f>
        <v>153736.59721112502</v>
      </c>
      <c r="T95" s="20">
        <v>500</v>
      </c>
      <c r="V95" s="12">
        <v>180</v>
      </c>
      <c r="W95" s="2">
        <f>W94+Tabla315[[#This Row],[Incremento]]</f>
        <v>267473.19442225003</v>
      </c>
      <c r="X95" s="2">
        <v>500</v>
      </c>
      <c r="Z95" s="12">
        <v>180</v>
      </c>
      <c r="AA95" s="2">
        <f>AA94+Tabla315[[#This Row],[Incremento]]</f>
        <v>295907.34372503124</v>
      </c>
      <c r="AB95" s="2">
        <v>500</v>
      </c>
      <c r="AD95" s="12">
        <v>180</v>
      </c>
      <c r="AE95" s="2">
        <f>AE94+Tabla315[[#This Row],[Incremento]]</f>
        <v>153736.59721112502</v>
      </c>
      <c r="AF95" s="2">
        <v>500</v>
      </c>
    </row>
    <row r="96" spans="2:32" x14ac:dyDescent="0.2">
      <c r="B96" s="12">
        <v>181</v>
      </c>
      <c r="C96" s="2">
        <f>C95+Tabla315[[#This Row],[Incremento]]</f>
        <v>253756.1197708594</v>
      </c>
      <c r="D96" s="2">
        <v>500</v>
      </c>
      <c r="F96" s="12">
        <v>181</v>
      </c>
      <c r="G96" s="2">
        <f>G95+Tabla315[[#This Row],[Incremento]]</f>
        <v>125802.44790834376</v>
      </c>
      <c r="H96" s="2">
        <v>500</v>
      </c>
      <c r="J96" s="12">
        <v>181</v>
      </c>
      <c r="K96" s="2">
        <f>K95+Tabla315[[#This Row],[Incremento]]</f>
        <v>118693.91058264844</v>
      </c>
      <c r="L96" s="2">
        <v>500</v>
      </c>
      <c r="N96" s="12">
        <v>181</v>
      </c>
      <c r="O96" s="2">
        <f>O95+Tabla315[[#This Row],[Incremento]]</f>
        <v>822439.10582648439</v>
      </c>
      <c r="P96" s="2">
        <v>500</v>
      </c>
      <c r="R96" s="23">
        <v>181</v>
      </c>
      <c r="S96" s="17">
        <f>S95+Tabla315[[#This Row],[Incremento]]</f>
        <v>154236.59721112502</v>
      </c>
      <c r="T96" s="18">
        <v>500</v>
      </c>
      <c r="V96" s="12">
        <v>181</v>
      </c>
      <c r="W96" s="2">
        <f>W95+Tabla315[[#This Row],[Incremento]]</f>
        <v>267973.19442225003</v>
      </c>
      <c r="X96" s="2">
        <v>500</v>
      </c>
      <c r="Z96" s="12">
        <v>181</v>
      </c>
      <c r="AA96" s="2">
        <f>AA95+Tabla315[[#This Row],[Incremento]]</f>
        <v>296407.34372503124</v>
      </c>
      <c r="AB96" s="2">
        <v>500</v>
      </c>
      <c r="AD96" s="12">
        <v>181</v>
      </c>
      <c r="AE96" s="2">
        <f>AE95+Tabla315[[#This Row],[Incremento]]</f>
        <v>154236.59721112502</v>
      </c>
      <c r="AF96" s="2">
        <v>500</v>
      </c>
    </row>
    <row r="97" spans="2:32" x14ac:dyDescent="0.2">
      <c r="B97" s="12">
        <v>182</v>
      </c>
      <c r="C97" s="2">
        <f>C96+Tabla315[[#This Row],[Incremento]]</f>
        <v>254256.1197708594</v>
      </c>
      <c r="D97" s="2">
        <v>500</v>
      </c>
      <c r="F97" s="12">
        <v>182</v>
      </c>
      <c r="G97" s="2">
        <f>G96+Tabla315[[#This Row],[Incremento]]</f>
        <v>126302.44790834376</v>
      </c>
      <c r="H97" s="2">
        <v>500</v>
      </c>
      <c r="J97" s="12">
        <v>182</v>
      </c>
      <c r="K97" s="2">
        <f>K96+Tabla315[[#This Row],[Incremento]]</f>
        <v>119193.91058264844</v>
      </c>
      <c r="L97" s="2">
        <v>500</v>
      </c>
      <c r="N97" s="12">
        <v>182</v>
      </c>
      <c r="O97" s="2">
        <f>O96+Tabla315[[#This Row],[Incremento]]</f>
        <v>822939.10582648439</v>
      </c>
      <c r="P97" s="2">
        <v>500</v>
      </c>
      <c r="R97" s="24">
        <v>182</v>
      </c>
      <c r="S97" s="19">
        <f>S96+Tabla315[[#This Row],[Incremento]]</f>
        <v>154736.59721112502</v>
      </c>
      <c r="T97" s="20">
        <v>500</v>
      </c>
      <c r="V97" s="12">
        <v>182</v>
      </c>
      <c r="W97" s="2">
        <f>W96+Tabla315[[#This Row],[Incremento]]</f>
        <v>268473.19442225003</v>
      </c>
      <c r="X97" s="2">
        <v>500</v>
      </c>
      <c r="Z97" s="12">
        <v>182</v>
      </c>
      <c r="AA97" s="2">
        <f>AA96+Tabla315[[#This Row],[Incremento]]</f>
        <v>296907.34372503124</v>
      </c>
      <c r="AB97" s="2">
        <v>500</v>
      </c>
      <c r="AD97" s="12">
        <v>182</v>
      </c>
      <c r="AE97" s="2">
        <f>AE96+Tabla315[[#This Row],[Incremento]]</f>
        <v>154736.59721112502</v>
      </c>
      <c r="AF97" s="2">
        <v>500</v>
      </c>
    </row>
    <row r="98" spans="2:32" x14ac:dyDescent="0.2">
      <c r="B98" s="12">
        <v>183</v>
      </c>
      <c r="C98" s="2">
        <f>C97+Tabla315[[#This Row],[Incremento]]</f>
        <v>254756.1197708594</v>
      </c>
      <c r="D98" s="2">
        <v>500</v>
      </c>
      <c r="F98" s="12">
        <v>183</v>
      </c>
      <c r="G98" s="2">
        <f>G97+Tabla315[[#This Row],[Incremento]]</f>
        <v>126802.44790834376</v>
      </c>
      <c r="H98" s="2">
        <v>500</v>
      </c>
      <c r="J98" s="12">
        <v>183</v>
      </c>
      <c r="K98" s="2">
        <f>K97+Tabla315[[#This Row],[Incremento]]</f>
        <v>119693.91058264844</v>
      </c>
      <c r="L98" s="2">
        <v>500</v>
      </c>
      <c r="N98" s="12">
        <v>183</v>
      </c>
      <c r="O98" s="2">
        <f>O97+Tabla315[[#This Row],[Incremento]]</f>
        <v>823439.10582648439</v>
      </c>
      <c r="P98" s="2">
        <v>500</v>
      </c>
      <c r="R98" s="23">
        <v>183</v>
      </c>
      <c r="S98" s="17">
        <f>S97+Tabla315[[#This Row],[Incremento]]</f>
        <v>155236.59721112502</v>
      </c>
      <c r="T98" s="18">
        <v>500</v>
      </c>
      <c r="V98" s="12">
        <v>183</v>
      </c>
      <c r="W98" s="2">
        <f>W97+Tabla315[[#This Row],[Incremento]]</f>
        <v>268973.19442225003</v>
      </c>
      <c r="X98" s="2">
        <v>500</v>
      </c>
      <c r="Z98" s="12">
        <v>183</v>
      </c>
      <c r="AA98" s="2">
        <f>AA97+Tabla315[[#This Row],[Incremento]]</f>
        <v>297407.34372503124</v>
      </c>
      <c r="AB98" s="2">
        <v>500</v>
      </c>
      <c r="AD98" s="12">
        <v>183</v>
      </c>
      <c r="AE98" s="2">
        <f>AE97+Tabla315[[#This Row],[Incremento]]</f>
        <v>155236.59721112502</v>
      </c>
      <c r="AF98" s="2">
        <v>500</v>
      </c>
    </row>
    <row r="99" spans="2:32" x14ac:dyDescent="0.2">
      <c r="B99" s="12">
        <v>184</v>
      </c>
      <c r="C99" s="2">
        <f>C98+Tabla315[[#This Row],[Incremento]]</f>
        <v>255256.1197708594</v>
      </c>
      <c r="D99" s="2">
        <v>500</v>
      </c>
      <c r="F99" s="12">
        <v>184</v>
      </c>
      <c r="G99" s="2">
        <f>G98+Tabla315[[#This Row],[Incremento]]</f>
        <v>127302.44790834376</v>
      </c>
      <c r="H99" s="2">
        <v>500</v>
      </c>
      <c r="J99" s="12">
        <v>184</v>
      </c>
      <c r="K99" s="2">
        <f>K98+Tabla315[[#This Row],[Incremento]]</f>
        <v>120193.91058264844</v>
      </c>
      <c r="L99" s="2">
        <v>500</v>
      </c>
      <c r="N99" s="12">
        <v>184</v>
      </c>
      <c r="O99" s="2">
        <f>O98+Tabla315[[#This Row],[Incremento]]</f>
        <v>823939.10582648439</v>
      </c>
      <c r="P99" s="2">
        <v>500</v>
      </c>
      <c r="R99" s="24">
        <v>184</v>
      </c>
      <c r="S99" s="19">
        <f>S98+Tabla315[[#This Row],[Incremento]]</f>
        <v>155736.59721112502</v>
      </c>
      <c r="T99" s="20">
        <v>500</v>
      </c>
      <c r="V99" s="12">
        <v>184</v>
      </c>
      <c r="W99" s="2">
        <f>W98+Tabla315[[#This Row],[Incremento]]</f>
        <v>269473.19442225003</v>
      </c>
      <c r="X99" s="2">
        <v>500</v>
      </c>
      <c r="Z99" s="12">
        <v>184</v>
      </c>
      <c r="AA99" s="2">
        <f>AA98+Tabla315[[#This Row],[Incremento]]</f>
        <v>297907.34372503124</v>
      </c>
      <c r="AB99" s="2">
        <v>500</v>
      </c>
      <c r="AD99" s="12">
        <v>184</v>
      </c>
      <c r="AE99" s="2">
        <f>AE98+Tabla315[[#This Row],[Incremento]]</f>
        <v>155736.59721112502</v>
      </c>
      <c r="AF99" s="2">
        <v>500</v>
      </c>
    </row>
    <row r="100" spans="2:32" x14ac:dyDescent="0.2">
      <c r="B100" s="12">
        <v>185</v>
      </c>
      <c r="C100" s="2">
        <f>C99+Tabla315[[#This Row],[Incremento]]</f>
        <v>255756.1197708594</v>
      </c>
      <c r="D100" s="2">
        <v>500</v>
      </c>
      <c r="F100" s="12">
        <v>185</v>
      </c>
      <c r="G100" s="2">
        <f>G99+Tabla315[[#This Row],[Incremento]]</f>
        <v>127802.44790834376</v>
      </c>
      <c r="H100" s="2">
        <v>500</v>
      </c>
      <c r="J100" s="12">
        <v>185</v>
      </c>
      <c r="K100" s="2">
        <f>K99+Tabla315[[#This Row],[Incremento]]</f>
        <v>120693.91058264844</v>
      </c>
      <c r="L100" s="2">
        <v>500</v>
      </c>
      <c r="N100" s="12">
        <v>185</v>
      </c>
      <c r="O100" s="2">
        <f>O99+Tabla315[[#This Row],[Incremento]]</f>
        <v>824439.10582648439</v>
      </c>
      <c r="P100" s="2">
        <v>500</v>
      </c>
      <c r="R100" s="23">
        <v>185</v>
      </c>
      <c r="S100" s="17">
        <f>S99+Tabla315[[#This Row],[Incremento]]</f>
        <v>156236.59721112502</v>
      </c>
      <c r="T100" s="18">
        <v>500</v>
      </c>
      <c r="V100" s="12">
        <v>185</v>
      </c>
      <c r="W100" s="2">
        <f>W99+Tabla315[[#This Row],[Incremento]]</f>
        <v>269973.19442225003</v>
      </c>
      <c r="X100" s="2">
        <v>500</v>
      </c>
      <c r="Z100" s="12">
        <v>185</v>
      </c>
      <c r="AA100" s="2">
        <f>AA99+Tabla315[[#This Row],[Incremento]]</f>
        <v>298407.34372503124</v>
      </c>
      <c r="AB100" s="2">
        <v>500</v>
      </c>
      <c r="AD100" s="12">
        <v>185</v>
      </c>
      <c r="AE100" s="2">
        <f>AE99+Tabla315[[#This Row],[Incremento]]</f>
        <v>156236.59721112502</v>
      </c>
      <c r="AF100" s="2">
        <v>500</v>
      </c>
    </row>
    <row r="101" spans="2:32" x14ac:dyDescent="0.2">
      <c r="B101" s="12">
        <v>186</v>
      </c>
      <c r="C101" s="2">
        <f>C100+Tabla315[[#This Row],[Incremento]]</f>
        <v>256256.1197708594</v>
      </c>
      <c r="D101" s="2">
        <v>500</v>
      </c>
      <c r="F101" s="12">
        <v>186</v>
      </c>
      <c r="G101" s="2">
        <f>G100+Tabla315[[#This Row],[Incremento]]</f>
        <v>128302.44790834376</v>
      </c>
      <c r="H101" s="2">
        <v>500</v>
      </c>
      <c r="J101" s="12">
        <v>186</v>
      </c>
      <c r="K101" s="2">
        <f>K100+Tabla315[[#This Row],[Incremento]]</f>
        <v>121193.91058264844</v>
      </c>
      <c r="L101" s="2">
        <v>500</v>
      </c>
      <c r="N101" s="12">
        <v>186</v>
      </c>
      <c r="O101" s="2">
        <f>O100+Tabla315[[#This Row],[Incremento]]</f>
        <v>824939.10582648439</v>
      </c>
      <c r="P101" s="2">
        <v>500</v>
      </c>
      <c r="R101" s="24">
        <v>186</v>
      </c>
      <c r="S101" s="19">
        <f>S100+Tabla315[[#This Row],[Incremento]]</f>
        <v>156736.59721112502</v>
      </c>
      <c r="T101" s="20">
        <v>500</v>
      </c>
      <c r="V101" s="12">
        <v>186</v>
      </c>
      <c r="W101" s="2">
        <f>W100+Tabla315[[#This Row],[Incremento]]</f>
        <v>270473.19442225003</v>
      </c>
      <c r="X101" s="2">
        <v>500</v>
      </c>
      <c r="Z101" s="12">
        <v>186</v>
      </c>
      <c r="AA101" s="2">
        <f>AA100+Tabla315[[#This Row],[Incremento]]</f>
        <v>298907.34372503124</v>
      </c>
      <c r="AB101" s="2">
        <v>500</v>
      </c>
      <c r="AD101" s="12">
        <v>186</v>
      </c>
      <c r="AE101" s="2">
        <f>AE100+Tabla315[[#This Row],[Incremento]]</f>
        <v>156736.59721112502</v>
      </c>
      <c r="AF101" s="2">
        <v>500</v>
      </c>
    </row>
    <row r="102" spans="2:32" x14ac:dyDescent="0.2">
      <c r="B102" s="12">
        <v>187</v>
      </c>
      <c r="C102" s="2">
        <f>C101+Tabla315[[#This Row],[Incremento]]</f>
        <v>256756.1197708594</v>
      </c>
      <c r="D102" s="2">
        <v>500</v>
      </c>
      <c r="F102" s="12">
        <v>187</v>
      </c>
      <c r="G102" s="2">
        <f>G101+Tabla315[[#This Row],[Incremento]]</f>
        <v>128802.44790834376</v>
      </c>
      <c r="H102" s="2">
        <v>500</v>
      </c>
      <c r="J102" s="12">
        <v>187</v>
      </c>
      <c r="K102" s="2">
        <f>K101+Tabla315[[#This Row],[Incremento]]</f>
        <v>121693.91058264844</v>
      </c>
      <c r="L102" s="2">
        <v>500</v>
      </c>
      <c r="N102" s="12">
        <v>187</v>
      </c>
      <c r="O102" s="2">
        <f>O101+Tabla315[[#This Row],[Incremento]]</f>
        <v>825439.10582648439</v>
      </c>
      <c r="P102" s="2">
        <v>500</v>
      </c>
      <c r="R102" s="23">
        <v>187</v>
      </c>
      <c r="S102" s="17">
        <f>S101+Tabla315[[#This Row],[Incremento]]</f>
        <v>157236.59721112502</v>
      </c>
      <c r="T102" s="18">
        <v>500</v>
      </c>
      <c r="V102" s="12">
        <v>187</v>
      </c>
      <c r="W102" s="2">
        <f>W101+Tabla315[[#This Row],[Incremento]]</f>
        <v>270973.19442225003</v>
      </c>
      <c r="X102" s="2">
        <v>500</v>
      </c>
      <c r="Z102" s="12">
        <v>187</v>
      </c>
      <c r="AA102" s="2">
        <f>AA101+Tabla315[[#This Row],[Incremento]]</f>
        <v>299407.34372503124</v>
      </c>
      <c r="AB102" s="2">
        <v>500</v>
      </c>
      <c r="AD102" s="12">
        <v>187</v>
      </c>
      <c r="AE102" s="2">
        <f>AE101+Tabla315[[#This Row],[Incremento]]</f>
        <v>157236.59721112502</v>
      </c>
      <c r="AF102" s="2">
        <v>500</v>
      </c>
    </row>
    <row r="103" spans="2:32" x14ac:dyDescent="0.2">
      <c r="B103" s="12">
        <v>188</v>
      </c>
      <c r="C103" s="2">
        <f>C102+Tabla315[[#This Row],[Incremento]]</f>
        <v>257256.1197708594</v>
      </c>
      <c r="D103" s="2">
        <v>500</v>
      </c>
      <c r="F103" s="12">
        <v>188</v>
      </c>
      <c r="G103" s="2">
        <f>G102+Tabla315[[#This Row],[Incremento]]</f>
        <v>129302.44790834376</v>
      </c>
      <c r="H103" s="2">
        <v>500</v>
      </c>
      <c r="J103" s="12">
        <v>188</v>
      </c>
      <c r="K103" s="2">
        <f>K102+Tabla315[[#This Row],[Incremento]]</f>
        <v>122193.91058264844</v>
      </c>
      <c r="L103" s="2">
        <v>500</v>
      </c>
      <c r="N103" s="12">
        <v>188</v>
      </c>
      <c r="O103" s="2">
        <f>O102+Tabla315[[#This Row],[Incremento]]</f>
        <v>825939.10582648439</v>
      </c>
      <c r="P103" s="2">
        <v>500</v>
      </c>
      <c r="R103" s="24">
        <v>188</v>
      </c>
      <c r="S103" s="19">
        <f>S102+Tabla315[[#This Row],[Incremento]]</f>
        <v>157736.59721112502</v>
      </c>
      <c r="T103" s="20">
        <v>500</v>
      </c>
      <c r="V103" s="12">
        <v>188</v>
      </c>
      <c r="W103" s="2">
        <f>W102+Tabla315[[#This Row],[Incremento]]</f>
        <v>271473.19442225003</v>
      </c>
      <c r="X103" s="2">
        <v>500</v>
      </c>
      <c r="Z103" s="12">
        <v>188</v>
      </c>
      <c r="AA103" s="2">
        <f>AA102+Tabla315[[#This Row],[Incremento]]</f>
        <v>299907.34372503124</v>
      </c>
      <c r="AB103" s="2">
        <v>500</v>
      </c>
      <c r="AD103" s="12">
        <v>188</v>
      </c>
      <c r="AE103" s="2">
        <f>AE102+Tabla315[[#This Row],[Incremento]]</f>
        <v>157736.59721112502</v>
      </c>
      <c r="AF103" s="2">
        <v>500</v>
      </c>
    </row>
    <row r="104" spans="2:32" x14ac:dyDescent="0.2">
      <c r="B104" s="12">
        <v>189</v>
      </c>
      <c r="C104" s="2">
        <f>C103+Tabla315[[#This Row],[Incremento]]</f>
        <v>257756.1197708594</v>
      </c>
      <c r="D104" s="2">
        <v>500</v>
      </c>
      <c r="F104" s="12">
        <v>189</v>
      </c>
      <c r="G104" s="2">
        <f>G103+Tabla315[[#This Row],[Incremento]]</f>
        <v>129802.44790834376</v>
      </c>
      <c r="H104" s="2">
        <v>500</v>
      </c>
      <c r="J104" s="12">
        <v>189</v>
      </c>
      <c r="K104" s="2">
        <f>K103+Tabla315[[#This Row],[Incremento]]</f>
        <v>122693.91058264844</v>
      </c>
      <c r="L104" s="2">
        <v>500</v>
      </c>
      <c r="N104" s="12">
        <v>189</v>
      </c>
      <c r="O104" s="2">
        <f>O103+Tabla315[[#This Row],[Incremento]]</f>
        <v>826439.10582648439</v>
      </c>
      <c r="P104" s="2">
        <v>500</v>
      </c>
      <c r="R104" s="23">
        <v>189</v>
      </c>
      <c r="S104" s="17">
        <f>S103+Tabla315[[#This Row],[Incremento]]</f>
        <v>158236.59721112502</v>
      </c>
      <c r="T104" s="18">
        <v>500</v>
      </c>
      <c r="V104" s="12">
        <v>189</v>
      </c>
      <c r="W104" s="2">
        <f>W103+Tabla315[[#This Row],[Incremento]]</f>
        <v>271973.19442225003</v>
      </c>
      <c r="X104" s="2">
        <v>500</v>
      </c>
      <c r="Z104" s="12">
        <v>189</v>
      </c>
      <c r="AA104" s="2">
        <f>AA103+Tabla315[[#This Row],[Incremento]]</f>
        <v>300407.34372503124</v>
      </c>
      <c r="AB104" s="2">
        <v>500</v>
      </c>
      <c r="AD104" s="12">
        <v>189</v>
      </c>
      <c r="AE104" s="2">
        <f>AE103+Tabla315[[#This Row],[Incremento]]</f>
        <v>158236.59721112502</v>
      </c>
      <c r="AF104" s="2">
        <v>500</v>
      </c>
    </row>
    <row r="105" spans="2:32" x14ac:dyDescent="0.2">
      <c r="B105" s="12">
        <v>190</v>
      </c>
      <c r="C105" s="2">
        <f>C104+Tabla315[[#This Row],[Incremento]]</f>
        <v>258256.1197708594</v>
      </c>
      <c r="D105" s="2">
        <v>500</v>
      </c>
      <c r="F105" s="12">
        <v>190</v>
      </c>
      <c r="G105" s="2">
        <f>G104+Tabla315[[#This Row],[Incremento]]</f>
        <v>130302.44790834376</v>
      </c>
      <c r="H105" s="2">
        <v>500</v>
      </c>
      <c r="J105" s="12">
        <v>190</v>
      </c>
      <c r="K105" s="2">
        <f>K104+Tabla315[[#This Row],[Incremento]]</f>
        <v>123193.91058264844</v>
      </c>
      <c r="L105" s="2">
        <v>500</v>
      </c>
      <c r="N105" s="12">
        <v>190</v>
      </c>
      <c r="O105" s="2">
        <f>O104+Tabla315[[#This Row],[Incremento]]</f>
        <v>826939.10582648439</v>
      </c>
      <c r="P105" s="2">
        <v>500</v>
      </c>
      <c r="R105" s="24">
        <v>190</v>
      </c>
      <c r="S105" s="19">
        <f>S104+Tabla315[[#This Row],[Incremento]]</f>
        <v>158736.59721112502</v>
      </c>
      <c r="T105" s="20">
        <v>500</v>
      </c>
      <c r="V105" s="12">
        <v>190</v>
      </c>
      <c r="W105" s="2">
        <f>W104+Tabla315[[#This Row],[Incremento]]</f>
        <v>272473.19442225003</v>
      </c>
      <c r="X105" s="2">
        <v>500</v>
      </c>
      <c r="Z105" s="12">
        <v>190</v>
      </c>
      <c r="AA105" s="2">
        <f>AA104+Tabla315[[#This Row],[Incremento]]</f>
        <v>300907.34372503124</v>
      </c>
      <c r="AB105" s="2">
        <v>500</v>
      </c>
      <c r="AD105" s="12">
        <v>190</v>
      </c>
      <c r="AE105" s="2">
        <f>AE104+Tabla315[[#This Row],[Incremento]]</f>
        <v>158736.59721112502</v>
      </c>
      <c r="AF105" s="2">
        <v>500</v>
      </c>
    </row>
    <row r="106" spans="2:32" x14ac:dyDescent="0.2">
      <c r="B106" s="12">
        <v>191</v>
      </c>
      <c r="C106" s="2">
        <f>C105+Tabla315[[#This Row],[Incremento]]</f>
        <v>258756.1197708594</v>
      </c>
      <c r="D106" s="2">
        <v>500</v>
      </c>
      <c r="F106" s="12">
        <v>191</v>
      </c>
      <c r="G106" s="2">
        <f>G105+Tabla315[[#This Row],[Incremento]]</f>
        <v>130802.44790834376</v>
      </c>
      <c r="H106" s="2">
        <v>500</v>
      </c>
      <c r="J106" s="12">
        <v>191</v>
      </c>
      <c r="K106" s="2">
        <f>K105+Tabla315[[#This Row],[Incremento]]</f>
        <v>123693.91058264844</v>
      </c>
      <c r="L106" s="2">
        <v>500</v>
      </c>
      <c r="N106" s="12">
        <v>191</v>
      </c>
      <c r="O106" s="2">
        <f>O105+Tabla315[[#This Row],[Incremento]]</f>
        <v>827439.10582648439</v>
      </c>
      <c r="P106" s="2">
        <v>500</v>
      </c>
      <c r="R106" s="23">
        <v>191</v>
      </c>
      <c r="S106" s="17">
        <f>S105+Tabla315[[#This Row],[Incremento]]</f>
        <v>159236.59721112502</v>
      </c>
      <c r="T106" s="18">
        <v>500</v>
      </c>
      <c r="V106" s="12">
        <v>191</v>
      </c>
      <c r="W106" s="2">
        <f>W105+Tabla315[[#This Row],[Incremento]]</f>
        <v>272973.19442225003</v>
      </c>
      <c r="X106" s="2">
        <v>500</v>
      </c>
      <c r="Z106" s="12">
        <v>191</v>
      </c>
      <c r="AA106" s="2">
        <f>AA105+Tabla315[[#This Row],[Incremento]]</f>
        <v>301407.34372503124</v>
      </c>
      <c r="AB106" s="2">
        <v>500</v>
      </c>
      <c r="AD106" s="12">
        <v>191</v>
      </c>
      <c r="AE106" s="2">
        <f>AE105+Tabla315[[#This Row],[Incremento]]</f>
        <v>159236.59721112502</v>
      </c>
      <c r="AF106" s="2">
        <v>500</v>
      </c>
    </row>
    <row r="107" spans="2:32" x14ac:dyDescent="0.2">
      <c r="B107" s="12">
        <v>192</v>
      </c>
      <c r="C107" s="2">
        <f>C106+Tabla315[[#This Row],[Incremento]]</f>
        <v>259256.1197708594</v>
      </c>
      <c r="D107" s="2">
        <v>500</v>
      </c>
      <c r="F107" s="12">
        <v>192</v>
      </c>
      <c r="G107" s="2">
        <f>G106+Tabla315[[#This Row],[Incremento]]</f>
        <v>131302.44790834375</v>
      </c>
      <c r="H107" s="2">
        <v>500</v>
      </c>
      <c r="J107" s="12">
        <v>192</v>
      </c>
      <c r="K107" s="2">
        <f>K106+Tabla315[[#This Row],[Incremento]]</f>
        <v>124193.91058264844</v>
      </c>
      <c r="L107" s="2">
        <v>500</v>
      </c>
      <c r="N107" s="12">
        <v>192</v>
      </c>
      <c r="O107" s="2">
        <f>O106+Tabla315[[#This Row],[Incremento]]</f>
        <v>827939.10582648439</v>
      </c>
      <c r="P107" s="2">
        <v>500</v>
      </c>
      <c r="R107" s="24">
        <v>192</v>
      </c>
      <c r="S107" s="19">
        <f>S106+Tabla315[[#This Row],[Incremento]]</f>
        <v>159736.59721112502</v>
      </c>
      <c r="T107" s="20">
        <v>500</v>
      </c>
      <c r="V107" s="12">
        <v>192</v>
      </c>
      <c r="W107" s="2">
        <f>W106+Tabla315[[#This Row],[Incremento]]</f>
        <v>273473.19442225003</v>
      </c>
      <c r="X107" s="2">
        <v>500</v>
      </c>
      <c r="Z107" s="12">
        <v>192</v>
      </c>
      <c r="AA107" s="2">
        <f>AA106+Tabla315[[#This Row],[Incremento]]</f>
        <v>301907.34372503124</v>
      </c>
      <c r="AB107" s="2">
        <v>500</v>
      </c>
      <c r="AD107" s="12">
        <v>192</v>
      </c>
      <c r="AE107" s="2">
        <f>AE106+Tabla315[[#This Row],[Incremento]]</f>
        <v>159736.59721112502</v>
      </c>
      <c r="AF107" s="2">
        <v>500</v>
      </c>
    </row>
    <row r="108" spans="2:32" x14ac:dyDescent="0.2">
      <c r="B108" s="12">
        <v>193</v>
      </c>
      <c r="C108" s="2">
        <f>C107+Tabla315[[#This Row],[Incremento]]</f>
        <v>259756.1197708594</v>
      </c>
      <c r="D108" s="2">
        <v>500</v>
      </c>
      <c r="F108" s="12">
        <v>193</v>
      </c>
      <c r="G108" s="2">
        <f>G107+Tabla315[[#This Row],[Incremento]]</f>
        <v>131802.44790834375</v>
      </c>
      <c r="H108" s="2">
        <v>500</v>
      </c>
      <c r="J108" s="12">
        <v>193</v>
      </c>
      <c r="K108" s="2">
        <f>K107+Tabla315[[#This Row],[Incremento]]</f>
        <v>124693.91058264844</v>
      </c>
      <c r="L108" s="2">
        <v>500</v>
      </c>
      <c r="N108" s="12">
        <v>193</v>
      </c>
      <c r="O108" s="2">
        <f>O107+Tabla315[[#This Row],[Incremento]]</f>
        <v>828439.10582648439</v>
      </c>
      <c r="P108" s="2">
        <v>500</v>
      </c>
      <c r="R108" s="23">
        <v>193</v>
      </c>
      <c r="S108" s="17">
        <f>S107+Tabla315[[#This Row],[Incremento]]</f>
        <v>160236.59721112502</v>
      </c>
      <c r="T108" s="18">
        <v>500</v>
      </c>
      <c r="V108" s="12">
        <v>193</v>
      </c>
      <c r="W108" s="2">
        <f>W107+Tabla315[[#This Row],[Incremento]]</f>
        <v>273973.19442225003</v>
      </c>
      <c r="X108" s="2">
        <v>500</v>
      </c>
      <c r="Z108" s="12">
        <v>193</v>
      </c>
      <c r="AA108" s="2">
        <f>AA107+Tabla315[[#This Row],[Incremento]]</f>
        <v>302407.34372503124</v>
      </c>
      <c r="AB108" s="2">
        <v>500</v>
      </c>
      <c r="AD108" s="12">
        <v>193</v>
      </c>
      <c r="AE108" s="2">
        <f>AE107+Tabla315[[#This Row],[Incremento]]</f>
        <v>160236.59721112502</v>
      </c>
      <c r="AF108" s="2">
        <v>500</v>
      </c>
    </row>
    <row r="109" spans="2:32" x14ac:dyDescent="0.2">
      <c r="B109" s="12">
        <v>194</v>
      </c>
      <c r="C109" s="2">
        <f>C108+Tabla315[[#This Row],[Incremento]]</f>
        <v>260256.1197708594</v>
      </c>
      <c r="D109" s="2">
        <v>500</v>
      </c>
      <c r="F109" s="12">
        <v>194</v>
      </c>
      <c r="G109" s="2">
        <f>G108+Tabla315[[#This Row],[Incremento]]</f>
        <v>132302.44790834375</v>
      </c>
      <c r="H109" s="2">
        <v>500</v>
      </c>
      <c r="J109" s="12">
        <v>194</v>
      </c>
      <c r="K109" s="2">
        <f>K108+Tabla315[[#This Row],[Incremento]]</f>
        <v>125193.91058264844</v>
      </c>
      <c r="L109" s="2">
        <v>500</v>
      </c>
      <c r="N109" s="12">
        <v>194</v>
      </c>
      <c r="O109" s="2">
        <f>O108+Tabla315[[#This Row],[Incremento]]</f>
        <v>828939.10582648439</v>
      </c>
      <c r="P109" s="2">
        <v>500</v>
      </c>
      <c r="R109" s="24">
        <v>194</v>
      </c>
      <c r="S109" s="19">
        <f>S108+Tabla315[[#This Row],[Incremento]]</f>
        <v>160736.59721112502</v>
      </c>
      <c r="T109" s="20">
        <v>500</v>
      </c>
      <c r="V109" s="12">
        <v>194</v>
      </c>
      <c r="W109" s="2">
        <f>W108+Tabla315[[#This Row],[Incremento]]</f>
        <v>274473.19442225003</v>
      </c>
      <c r="X109" s="2">
        <v>500</v>
      </c>
      <c r="Z109" s="12">
        <v>194</v>
      </c>
      <c r="AA109" s="2">
        <f>AA108+Tabla315[[#This Row],[Incremento]]</f>
        <v>302907.34372503124</v>
      </c>
      <c r="AB109" s="2">
        <v>500</v>
      </c>
      <c r="AD109" s="12">
        <v>194</v>
      </c>
      <c r="AE109" s="2">
        <f>AE108+Tabla315[[#This Row],[Incremento]]</f>
        <v>160736.59721112502</v>
      </c>
      <c r="AF109" s="2">
        <v>500</v>
      </c>
    </row>
    <row r="110" spans="2:32" x14ac:dyDescent="0.2">
      <c r="B110" s="12">
        <v>195</v>
      </c>
      <c r="C110" s="2">
        <f>C109+Tabla315[[#This Row],[Incremento]]</f>
        <v>260756.1197708594</v>
      </c>
      <c r="D110" s="2">
        <v>500</v>
      </c>
      <c r="F110" s="12">
        <v>195</v>
      </c>
      <c r="G110" s="2">
        <f>G109+Tabla315[[#This Row],[Incremento]]</f>
        <v>132802.44790834375</v>
      </c>
      <c r="H110" s="2">
        <v>500</v>
      </c>
      <c r="J110" s="12">
        <v>195</v>
      </c>
      <c r="K110" s="2">
        <f>K109+Tabla315[[#This Row],[Incremento]]</f>
        <v>125693.91058264844</v>
      </c>
      <c r="L110" s="2">
        <v>500</v>
      </c>
      <c r="N110" s="12">
        <v>195</v>
      </c>
      <c r="O110" s="2">
        <f>O109+Tabla315[[#This Row],[Incremento]]</f>
        <v>829439.10582648439</v>
      </c>
      <c r="P110" s="2">
        <v>500</v>
      </c>
      <c r="R110" s="23">
        <v>195</v>
      </c>
      <c r="S110" s="17">
        <f>S109+Tabla315[[#This Row],[Incremento]]</f>
        <v>161236.59721112502</v>
      </c>
      <c r="T110" s="18">
        <v>500</v>
      </c>
      <c r="V110" s="12">
        <v>195</v>
      </c>
      <c r="W110" s="2">
        <f>W109+Tabla315[[#This Row],[Incremento]]</f>
        <v>274973.19442225003</v>
      </c>
      <c r="X110" s="2">
        <v>500</v>
      </c>
      <c r="Z110" s="12">
        <v>195</v>
      </c>
      <c r="AA110" s="2">
        <f>AA109+Tabla315[[#This Row],[Incremento]]</f>
        <v>303407.34372503124</v>
      </c>
      <c r="AB110" s="2">
        <v>500</v>
      </c>
      <c r="AD110" s="12">
        <v>195</v>
      </c>
      <c r="AE110" s="2">
        <f>AE109+Tabla315[[#This Row],[Incremento]]</f>
        <v>161236.59721112502</v>
      </c>
      <c r="AF110" s="2">
        <v>500</v>
      </c>
    </row>
    <row r="111" spans="2:32" x14ac:dyDescent="0.2">
      <c r="B111" s="12">
        <v>196</v>
      </c>
      <c r="C111" s="2">
        <f>C110+Tabla315[[#This Row],[Incremento]]</f>
        <v>261256.1197708594</v>
      </c>
      <c r="D111" s="2">
        <v>500</v>
      </c>
      <c r="F111" s="12">
        <v>196</v>
      </c>
      <c r="G111" s="2">
        <f>G110+Tabla315[[#This Row],[Incremento]]</f>
        <v>133302.44790834375</v>
      </c>
      <c r="H111" s="2">
        <v>500</v>
      </c>
      <c r="J111" s="12">
        <v>196</v>
      </c>
      <c r="K111" s="2">
        <f>K110+Tabla315[[#This Row],[Incremento]]</f>
        <v>126193.91058264844</v>
      </c>
      <c r="L111" s="2">
        <v>500</v>
      </c>
      <c r="N111" s="12">
        <v>196</v>
      </c>
      <c r="O111" s="2">
        <f>O110+Tabla315[[#This Row],[Incremento]]</f>
        <v>829939.10582648439</v>
      </c>
      <c r="P111" s="2">
        <v>500</v>
      </c>
      <c r="R111" s="24">
        <v>196</v>
      </c>
      <c r="S111" s="19">
        <f>S110+Tabla315[[#This Row],[Incremento]]</f>
        <v>161736.59721112502</v>
      </c>
      <c r="T111" s="20">
        <v>500</v>
      </c>
      <c r="V111" s="12">
        <v>196</v>
      </c>
      <c r="W111" s="2">
        <f>W110+Tabla315[[#This Row],[Incremento]]</f>
        <v>275473.19442225003</v>
      </c>
      <c r="X111" s="2">
        <v>500</v>
      </c>
      <c r="Z111" s="12">
        <v>196</v>
      </c>
      <c r="AA111" s="2">
        <f>AA110+Tabla315[[#This Row],[Incremento]]</f>
        <v>303907.34372503124</v>
      </c>
      <c r="AB111" s="2">
        <v>500</v>
      </c>
      <c r="AD111" s="12">
        <v>196</v>
      </c>
      <c r="AE111" s="2">
        <f>AE110+Tabla315[[#This Row],[Incremento]]</f>
        <v>161736.59721112502</v>
      </c>
      <c r="AF111" s="2">
        <v>500</v>
      </c>
    </row>
    <row r="112" spans="2:32" x14ac:dyDescent="0.2">
      <c r="B112" s="12">
        <v>197</v>
      </c>
      <c r="C112" s="2">
        <f>C111+Tabla315[[#This Row],[Incremento]]</f>
        <v>261756.1197708594</v>
      </c>
      <c r="D112" s="2">
        <v>500</v>
      </c>
      <c r="F112" s="12">
        <v>197</v>
      </c>
      <c r="G112" s="2">
        <f>G111+Tabla315[[#This Row],[Incremento]]</f>
        <v>133802.44790834375</v>
      </c>
      <c r="H112" s="2">
        <v>500</v>
      </c>
      <c r="J112" s="12">
        <v>197</v>
      </c>
      <c r="K112" s="2">
        <f>K111+Tabla315[[#This Row],[Incremento]]</f>
        <v>126693.91058264844</v>
      </c>
      <c r="L112" s="2">
        <v>500</v>
      </c>
      <c r="N112" s="12">
        <v>197</v>
      </c>
      <c r="O112" s="2">
        <f>O111+Tabla315[[#This Row],[Incremento]]</f>
        <v>830439.10582648439</v>
      </c>
      <c r="P112" s="2">
        <v>500</v>
      </c>
      <c r="R112" s="23">
        <v>197</v>
      </c>
      <c r="S112" s="17">
        <f>S111+Tabla315[[#This Row],[Incremento]]</f>
        <v>162236.59721112502</v>
      </c>
      <c r="T112" s="18">
        <v>500</v>
      </c>
      <c r="V112" s="12">
        <v>197</v>
      </c>
      <c r="W112" s="2">
        <f>W111+Tabla315[[#This Row],[Incremento]]</f>
        <v>275973.19442225003</v>
      </c>
      <c r="X112" s="2">
        <v>500</v>
      </c>
      <c r="Z112" s="12">
        <v>197</v>
      </c>
      <c r="AA112" s="2">
        <f>AA111+Tabla315[[#This Row],[Incremento]]</f>
        <v>304407.34372503124</v>
      </c>
      <c r="AB112" s="2">
        <v>500</v>
      </c>
      <c r="AD112" s="12">
        <v>197</v>
      </c>
      <c r="AE112" s="2">
        <f>AE111+Tabla315[[#This Row],[Incremento]]</f>
        <v>162236.59721112502</v>
      </c>
      <c r="AF112" s="2">
        <v>500</v>
      </c>
    </row>
    <row r="113" spans="2:32" x14ac:dyDescent="0.2">
      <c r="B113" s="12">
        <v>198</v>
      </c>
      <c r="C113" s="2">
        <f>C112+Tabla315[[#This Row],[Incremento]]</f>
        <v>262256.11977085937</v>
      </c>
      <c r="D113" s="2">
        <v>500</v>
      </c>
      <c r="F113" s="12">
        <v>198</v>
      </c>
      <c r="G113" s="2">
        <f>G112+Tabla315[[#This Row],[Incremento]]</f>
        <v>134302.44790834375</v>
      </c>
      <c r="H113" s="2">
        <v>500</v>
      </c>
      <c r="J113" s="12">
        <v>198</v>
      </c>
      <c r="K113" s="2">
        <f>K112+Tabla315[[#This Row],[Incremento]]</f>
        <v>127193.91058264844</v>
      </c>
      <c r="L113" s="2">
        <v>500</v>
      </c>
      <c r="N113" s="12">
        <v>198</v>
      </c>
      <c r="O113" s="2">
        <f>O112+Tabla315[[#This Row],[Incremento]]</f>
        <v>830939.10582648439</v>
      </c>
      <c r="P113" s="2">
        <v>500</v>
      </c>
      <c r="R113" s="24">
        <v>198</v>
      </c>
      <c r="S113" s="19">
        <f>S112+Tabla315[[#This Row],[Incremento]]</f>
        <v>162736.59721112502</v>
      </c>
      <c r="T113" s="20">
        <v>500</v>
      </c>
      <c r="V113" s="12">
        <v>198</v>
      </c>
      <c r="W113" s="2">
        <f>W112+Tabla315[[#This Row],[Incremento]]</f>
        <v>276473.19442225003</v>
      </c>
      <c r="X113" s="2">
        <v>500</v>
      </c>
      <c r="Z113" s="12">
        <v>198</v>
      </c>
      <c r="AA113" s="2">
        <f>AA112+Tabla315[[#This Row],[Incremento]]</f>
        <v>304907.34372503124</v>
      </c>
      <c r="AB113" s="2">
        <v>500</v>
      </c>
      <c r="AD113" s="12">
        <v>198</v>
      </c>
      <c r="AE113" s="2">
        <f>AE112+Tabla315[[#This Row],[Incremento]]</f>
        <v>162736.59721112502</v>
      </c>
      <c r="AF113" s="2">
        <v>500</v>
      </c>
    </row>
    <row r="114" spans="2:32" x14ac:dyDescent="0.2">
      <c r="B114" s="12">
        <v>199</v>
      </c>
      <c r="C114" s="2">
        <f>C113+Tabla315[[#This Row],[Incremento]]</f>
        <v>262756.11977085937</v>
      </c>
      <c r="D114" s="2">
        <v>500</v>
      </c>
      <c r="F114" s="12">
        <v>199</v>
      </c>
      <c r="G114" s="2">
        <f>G113+Tabla315[[#This Row],[Incremento]]</f>
        <v>134802.44790834375</v>
      </c>
      <c r="H114" s="2">
        <v>500</v>
      </c>
      <c r="J114" s="12">
        <v>199</v>
      </c>
      <c r="K114" s="2">
        <f>K113+Tabla315[[#This Row],[Incremento]]</f>
        <v>127693.91058264844</v>
      </c>
      <c r="L114" s="2">
        <v>500</v>
      </c>
      <c r="N114" s="12">
        <v>199</v>
      </c>
      <c r="O114" s="2">
        <f>O113+Tabla315[[#This Row],[Incremento]]</f>
        <v>831439.10582648439</v>
      </c>
      <c r="P114" s="2">
        <v>500</v>
      </c>
      <c r="R114" s="23">
        <v>199</v>
      </c>
      <c r="S114" s="17">
        <f>S113+Tabla315[[#This Row],[Incremento]]</f>
        <v>163236.59721112502</v>
      </c>
      <c r="T114" s="18">
        <v>500</v>
      </c>
      <c r="V114" s="12">
        <v>199</v>
      </c>
      <c r="W114" s="2">
        <f>W113+Tabla315[[#This Row],[Incremento]]</f>
        <v>276973.19442225003</v>
      </c>
      <c r="X114" s="2">
        <v>500</v>
      </c>
      <c r="Z114" s="12">
        <v>199</v>
      </c>
      <c r="AA114" s="2">
        <f>AA113+Tabla315[[#This Row],[Incremento]]</f>
        <v>305407.34372503124</v>
      </c>
      <c r="AB114" s="2">
        <v>500</v>
      </c>
      <c r="AD114" s="12">
        <v>199</v>
      </c>
      <c r="AE114" s="2">
        <f>AE113+Tabla315[[#This Row],[Incremento]]</f>
        <v>163236.59721112502</v>
      </c>
      <c r="AF114" s="2">
        <v>500</v>
      </c>
    </row>
    <row r="115" spans="2:32" x14ac:dyDescent="0.2">
      <c r="B115" s="12">
        <v>200</v>
      </c>
      <c r="C115" s="2">
        <f>C114+Tabla315[[#This Row],[Incremento]]</f>
        <v>263256.11977085937</v>
      </c>
      <c r="D115" s="2">
        <v>500</v>
      </c>
      <c r="F115" s="12">
        <v>200</v>
      </c>
      <c r="G115" s="2">
        <f>G114+Tabla315[[#This Row],[Incremento]]</f>
        <v>135302.44790834375</v>
      </c>
      <c r="H115" s="2">
        <v>500</v>
      </c>
      <c r="J115" s="12">
        <v>200</v>
      </c>
      <c r="K115" s="2">
        <f>K114+Tabla315[[#This Row],[Incremento]]</f>
        <v>128193.91058264844</v>
      </c>
      <c r="L115" s="2">
        <v>500</v>
      </c>
      <c r="N115" s="12">
        <v>200</v>
      </c>
      <c r="O115" s="2">
        <f>O114+Tabla315[[#This Row],[Incremento]]</f>
        <v>831939.10582648439</v>
      </c>
      <c r="P115" s="2">
        <v>500</v>
      </c>
      <c r="R115" s="24">
        <v>200</v>
      </c>
      <c r="S115" s="19">
        <f>S114+Tabla315[[#This Row],[Incremento]]</f>
        <v>163736.59721112502</v>
      </c>
      <c r="T115" s="20">
        <v>500</v>
      </c>
      <c r="V115" s="12">
        <v>200</v>
      </c>
      <c r="W115" s="2">
        <f>W114+Tabla315[[#This Row],[Incremento]]</f>
        <v>277473.19442225003</v>
      </c>
      <c r="X115" s="2">
        <v>500</v>
      </c>
      <c r="Z115" s="12">
        <v>200</v>
      </c>
      <c r="AA115" s="2">
        <f>AA114+Tabla315[[#This Row],[Incremento]]</f>
        <v>305907.34372503124</v>
      </c>
      <c r="AB115" s="2">
        <v>500</v>
      </c>
      <c r="AD115" s="12">
        <v>200</v>
      </c>
      <c r="AE115" s="2">
        <f>AE114+Tabla315[[#This Row],[Incremento]]</f>
        <v>163736.59721112502</v>
      </c>
      <c r="AF115" s="2">
        <v>500</v>
      </c>
    </row>
  </sheetData>
  <mergeCells count="8">
    <mergeCell ref="Z5:AB5"/>
    <mergeCell ref="AD5:AF5"/>
    <mergeCell ref="B5:D5"/>
    <mergeCell ref="F5:H5"/>
    <mergeCell ref="J5:L5"/>
    <mergeCell ref="N5:P5"/>
    <mergeCell ref="R5:T5"/>
    <mergeCell ref="V5:X5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EC84C-3156-A44A-A506-7AD3103E15B2}">
  <sheetPr>
    <tabColor rgb="FF0070C0"/>
  </sheetPr>
  <dimension ref="B3:BE299"/>
  <sheetViews>
    <sheetView topLeftCell="T1" zoomScale="93" workbookViewId="0">
      <selection activeCell="T11" sqref="T11"/>
    </sheetView>
  </sheetViews>
  <sheetFormatPr baseColWidth="10" defaultRowHeight="16" x14ac:dyDescent="0.2"/>
  <cols>
    <col min="2" max="2" width="19.33203125" bestFit="1" customWidth="1"/>
    <col min="3" max="3" width="13.6640625" customWidth="1"/>
    <col min="4" max="4" width="14.83203125" bestFit="1" customWidth="1"/>
    <col min="5" max="5" width="14.5" customWidth="1"/>
    <col min="6" max="6" width="17" style="12" bestFit="1" customWidth="1"/>
    <col min="7" max="7" width="16.6640625" bestFit="1" customWidth="1"/>
    <col min="8" max="9" width="12.5" customWidth="1"/>
    <col min="10" max="10" width="16.1640625" bestFit="1" customWidth="1"/>
    <col min="11" max="11" width="13.6640625" bestFit="1" customWidth="1"/>
    <col min="12" max="12" width="12.5" customWidth="1"/>
    <col min="13" max="13" width="11.33203125" customWidth="1"/>
    <col min="14" max="14" width="19" bestFit="1" customWidth="1"/>
    <col min="15" max="15" width="14.1640625" bestFit="1" customWidth="1"/>
    <col min="16" max="16" width="11.83203125" bestFit="1" customWidth="1"/>
    <col min="18" max="18" width="19" bestFit="1" customWidth="1"/>
    <col min="19" max="19" width="14" bestFit="1" customWidth="1"/>
    <col min="20" max="20" width="11.33203125" bestFit="1" customWidth="1"/>
    <col min="22" max="22" width="19" bestFit="1" customWidth="1"/>
    <col min="23" max="23" width="15.33203125" bestFit="1" customWidth="1"/>
    <col min="24" max="24" width="11.33203125" bestFit="1" customWidth="1"/>
    <col min="25" max="25" width="11.33203125" customWidth="1"/>
    <col min="26" max="26" width="19" bestFit="1" customWidth="1"/>
    <col min="27" max="27" width="15.33203125" bestFit="1" customWidth="1"/>
    <col min="28" max="28" width="11.33203125" bestFit="1" customWidth="1"/>
    <col min="29" max="29" width="11.33203125" customWidth="1"/>
    <col min="30" max="30" width="19" bestFit="1" customWidth="1"/>
    <col min="31" max="31" width="15.33203125" bestFit="1" customWidth="1"/>
    <col min="32" max="32" width="11.33203125" bestFit="1" customWidth="1"/>
    <col min="34" max="34" width="19" customWidth="1"/>
    <col min="35" max="35" width="13.6640625" bestFit="1" customWidth="1"/>
    <col min="36" max="36" width="13.6640625" customWidth="1"/>
    <col min="39" max="39" width="19" bestFit="1" customWidth="1"/>
    <col min="40" max="40" width="15.33203125" bestFit="1" customWidth="1"/>
    <col min="41" max="41" width="14.6640625" bestFit="1" customWidth="1"/>
    <col min="42" max="42" width="13" bestFit="1" customWidth="1"/>
    <col min="43" max="43" width="19" bestFit="1" customWidth="1"/>
    <col min="44" max="44" width="14.5" bestFit="1" customWidth="1"/>
    <col min="45" max="45" width="14.6640625" bestFit="1" customWidth="1"/>
    <col min="47" max="47" width="19" bestFit="1" customWidth="1"/>
    <col min="48" max="48" width="14" bestFit="1" customWidth="1"/>
    <col min="49" max="49" width="11" bestFit="1" customWidth="1"/>
    <col min="50" max="50" width="11" customWidth="1"/>
    <col min="51" max="51" width="19" bestFit="1" customWidth="1"/>
    <col min="52" max="52" width="14.6640625" bestFit="1" customWidth="1"/>
    <col min="53" max="53" width="11" bestFit="1" customWidth="1"/>
    <col min="55" max="55" width="19" bestFit="1" customWidth="1"/>
    <col min="56" max="56" width="14.33203125" customWidth="1"/>
    <col min="57" max="57" width="11" bestFit="1" customWidth="1"/>
    <col min="62" max="62" width="20.33203125" customWidth="1"/>
    <col min="63" max="63" width="12.6640625" bestFit="1" customWidth="1"/>
    <col min="64" max="64" width="11.1640625" bestFit="1" customWidth="1"/>
    <col min="65" max="65" width="11.33203125" bestFit="1" customWidth="1"/>
    <col min="68" max="68" width="13.6640625" bestFit="1" customWidth="1"/>
  </cols>
  <sheetData>
    <row r="3" spans="2:57" x14ac:dyDescent="0.2">
      <c r="B3" s="45" t="s">
        <v>23</v>
      </c>
      <c r="C3" s="45"/>
      <c r="D3" s="45"/>
      <c r="F3" s="45" t="s">
        <v>8</v>
      </c>
      <c r="G3" s="45"/>
      <c r="H3" s="45"/>
      <c r="J3" s="45" t="s">
        <v>24</v>
      </c>
      <c r="K3" s="45"/>
      <c r="L3" s="45"/>
      <c r="N3" s="45" t="s">
        <v>9</v>
      </c>
      <c r="O3" s="45"/>
      <c r="P3" s="45"/>
      <c r="R3" s="45" t="s">
        <v>30</v>
      </c>
      <c r="S3" s="45"/>
      <c r="T3" s="45"/>
      <c r="V3" s="45" t="s">
        <v>32</v>
      </c>
      <c r="W3" s="45"/>
      <c r="X3" s="45"/>
      <c r="Z3" s="45" t="s">
        <v>31</v>
      </c>
      <c r="AA3" s="45"/>
      <c r="AB3" s="45"/>
      <c r="AD3" s="45" t="s">
        <v>33</v>
      </c>
      <c r="AE3" s="45"/>
      <c r="AF3" s="45"/>
      <c r="AH3" s="45" t="s">
        <v>12</v>
      </c>
      <c r="AI3" s="45"/>
      <c r="AJ3" s="13"/>
      <c r="AM3" s="45" t="s">
        <v>13</v>
      </c>
      <c r="AN3" s="45"/>
      <c r="AO3" s="45"/>
      <c r="AQ3" s="45" t="s">
        <v>15</v>
      </c>
      <c r="AR3" s="45"/>
      <c r="AS3" s="45"/>
      <c r="AU3" s="45" t="s">
        <v>22</v>
      </c>
      <c r="AV3" s="45"/>
      <c r="AW3" s="45"/>
      <c r="AY3" s="45" t="s">
        <v>35</v>
      </c>
      <c r="AZ3" s="45"/>
      <c r="BA3" s="45"/>
      <c r="BC3" s="45" t="s">
        <v>14</v>
      </c>
      <c r="BD3" s="45"/>
      <c r="BE3" s="45"/>
    </row>
    <row r="4" spans="2:57" x14ac:dyDescent="0.2">
      <c r="B4" t="s">
        <v>25</v>
      </c>
      <c r="C4" s="2" t="s">
        <v>4</v>
      </c>
      <c r="D4" s="1" t="s">
        <v>6</v>
      </c>
      <c r="F4" s="12" t="s">
        <v>25</v>
      </c>
      <c r="G4" s="2" t="s">
        <v>4</v>
      </c>
      <c r="H4" s="1" t="s">
        <v>6</v>
      </c>
      <c r="I4" s="1"/>
      <c r="J4" t="s">
        <v>25</v>
      </c>
      <c r="K4" s="2" t="s">
        <v>4</v>
      </c>
      <c r="L4" s="1" t="s">
        <v>6</v>
      </c>
      <c r="N4" t="s">
        <v>25</v>
      </c>
      <c r="O4" s="2" t="s">
        <v>4</v>
      </c>
      <c r="P4" s="1" t="s">
        <v>6</v>
      </c>
      <c r="R4" t="s">
        <v>25</v>
      </c>
      <c r="S4" s="2" t="s">
        <v>4</v>
      </c>
      <c r="T4" s="1" t="s">
        <v>6</v>
      </c>
      <c r="V4" t="s">
        <v>25</v>
      </c>
      <c r="W4" s="2" t="s">
        <v>4</v>
      </c>
      <c r="X4" s="1" t="s">
        <v>6</v>
      </c>
      <c r="Y4" s="1"/>
      <c r="Z4" t="s">
        <v>25</v>
      </c>
      <c r="AA4" s="2" t="s">
        <v>4</v>
      </c>
      <c r="AB4" s="1" t="s">
        <v>6</v>
      </c>
      <c r="AC4" s="1"/>
      <c r="AD4" t="s">
        <v>25</v>
      </c>
      <c r="AE4" s="2" t="s">
        <v>4</v>
      </c>
      <c r="AF4" s="1" t="s">
        <v>6</v>
      </c>
      <c r="AH4" s="5" t="s">
        <v>25</v>
      </c>
      <c r="AI4" s="2" t="s">
        <v>4</v>
      </c>
      <c r="AJ4" s="2" t="s">
        <v>34</v>
      </c>
      <c r="AM4" s="27" t="s">
        <v>25</v>
      </c>
      <c r="AN4" s="7" t="s">
        <v>4</v>
      </c>
      <c r="AO4" s="28" t="s">
        <v>6</v>
      </c>
      <c r="AQ4" s="5" t="s">
        <v>25</v>
      </c>
      <c r="AR4" s="2" t="s">
        <v>4</v>
      </c>
      <c r="AS4" s="1" t="s">
        <v>6</v>
      </c>
      <c r="AU4" s="5" t="s">
        <v>25</v>
      </c>
      <c r="AV4" s="2" t="s">
        <v>4</v>
      </c>
      <c r="AW4" s="1" t="s">
        <v>6</v>
      </c>
      <c r="AY4" s="5" t="s">
        <v>25</v>
      </c>
      <c r="AZ4" s="2" t="s">
        <v>4</v>
      </c>
      <c r="BA4" s="1" t="s">
        <v>6</v>
      </c>
      <c r="BC4" s="5" t="s">
        <v>25</v>
      </c>
      <c r="BD4" s="2" t="s">
        <v>4</v>
      </c>
      <c r="BE4" s="1" t="s">
        <v>6</v>
      </c>
    </row>
    <row r="5" spans="2:57" x14ac:dyDescent="0.2">
      <c r="B5" t="s">
        <v>16</v>
      </c>
      <c r="C5" s="2">
        <v>150000</v>
      </c>
      <c r="D5" s="1">
        <v>0</v>
      </c>
      <c r="F5" s="12" t="s">
        <v>16</v>
      </c>
      <c r="G5" s="2" t="s">
        <v>21</v>
      </c>
      <c r="H5" s="1">
        <v>0</v>
      </c>
      <c r="I5" s="1"/>
      <c r="J5" s="12" t="s">
        <v>16</v>
      </c>
      <c r="K5" s="2" t="s">
        <v>21</v>
      </c>
      <c r="L5" s="1">
        <v>0</v>
      </c>
      <c r="N5" t="s">
        <v>16</v>
      </c>
      <c r="O5" s="2">
        <v>70000</v>
      </c>
      <c r="P5" s="1">
        <v>0</v>
      </c>
      <c r="R5" t="s">
        <v>16</v>
      </c>
      <c r="S5" s="2">
        <v>50000</v>
      </c>
      <c r="T5" s="1">
        <v>0</v>
      </c>
      <c r="V5" t="s">
        <v>16</v>
      </c>
      <c r="W5" s="2">
        <v>500234</v>
      </c>
      <c r="X5" s="1">
        <v>0</v>
      </c>
      <c r="Y5" s="1"/>
      <c r="Z5" t="s">
        <v>16</v>
      </c>
      <c r="AA5" s="2">
        <v>100000</v>
      </c>
      <c r="AB5" s="1">
        <v>0</v>
      </c>
      <c r="AC5" s="1"/>
      <c r="AD5" t="s">
        <v>16</v>
      </c>
      <c r="AE5" s="2">
        <v>200000</v>
      </c>
      <c r="AF5" s="1">
        <v>0</v>
      </c>
      <c r="AH5" t="s">
        <v>16</v>
      </c>
      <c r="AI5" s="2">
        <v>200000</v>
      </c>
      <c r="AJ5" s="1">
        <v>0</v>
      </c>
      <c r="AM5" s="29" t="s">
        <v>16</v>
      </c>
      <c r="AN5" s="10">
        <v>280000</v>
      </c>
      <c r="AO5" s="30">
        <v>0</v>
      </c>
      <c r="AQ5" t="s">
        <v>16</v>
      </c>
      <c r="AR5" s="2">
        <v>190000</v>
      </c>
      <c r="AS5" s="1">
        <v>0</v>
      </c>
      <c r="AU5" t="s">
        <v>16</v>
      </c>
      <c r="AV5" s="2">
        <v>300000</v>
      </c>
      <c r="AW5" s="1"/>
      <c r="AY5" t="s">
        <v>16</v>
      </c>
      <c r="AZ5" s="2">
        <v>1000000</v>
      </c>
      <c r="BA5" s="1"/>
      <c r="BC5" t="s">
        <v>16</v>
      </c>
      <c r="BD5" s="2">
        <v>100000</v>
      </c>
      <c r="BE5" s="1">
        <v>0</v>
      </c>
    </row>
    <row r="6" spans="2:57" x14ac:dyDescent="0.2">
      <c r="B6" t="s">
        <v>17</v>
      </c>
      <c r="C6" s="2">
        <f>(C5*D6)+C5</f>
        <v>157500</v>
      </c>
      <c r="D6" s="1">
        <v>0.05</v>
      </c>
      <c r="F6" s="12" t="s">
        <v>17</v>
      </c>
      <c r="G6" s="2" t="s">
        <v>21</v>
      </c>
      <c r="H6" s="1">
        <v>0</v>
      </c>
      <c r="I6" s="1"/>
      <c r="J6" s="12" t="s">
        <v>17</v>
      </c>
      <c r="K6" s="2" t="s">
        <v>21</v>
      </c>
      <c r="L6" s="1">
        <v>0</v>
      </c>
      <c r="N6" t="s">
        <v>17</v>
      </c>
      <c r="O6" s="2">
        <f>(O5*P6)+O5</f>
        <v>77000</v>
      </c>
      <c r="P6" s="1">
        <v>0.1</v>
      </c>
      <c r="R6" t="s">
        <v>17</v>
      </c>
      <c r="S6" s="2">
        <f>(S5*T6)+S5</f>
        <v>50000</v>
      </c>
      <c r="T6" s="1">
        <v>0</v>
      </c>
      <c r="V6" t="s">
        <v>17</v>
      </c>
      <c r="W6" s="2">
        <f>(W5*X6)+W5</f>
        <v>502735.17</v>
      </c>
      <c r="X6" s="1">
        <v>5.0000000000000001E-3</v>
      </c>
      <c r="Y6" s="1"/>
      <c r="Z6" t="s">
        <v>17</v>
      </c>
      <c r="AA6" s="2">
        <f>(AA5*AB6)+AA5</f>
        <v>100500</v>
      </c>
      <c r="AB6" s="1">
        <v>5.0000000000000001E-3</v>
      </c>
      <c r="AC6" s="1"/>
      <c r="AD6" t="s">
        <v>17</v>
      </c>
      <c r="AE6" s="2">
        <f>(AE5*AF6)+AE5</f>
        <v>201000</v>
      </c>
      <c r="AF6" s="1">
        <v>5.0000000000000001E-3</v>
      </c>
      <c r="AH6" t="s">
        <v>17</v>
      </c>
      <c r="AI6" s="2">
        <f>(AI5*AJ6)+AI5</f>
        <v>201000</v>
      </c>
      <c r="AJ6" s="1">
        <v>5.0000000000000001E-3</v>
      </c>
      <c r="AM6" s="31" t="s">
        <v>17</v>
      </c>
      <c r="AN6" s="32">
        <f>(AN5*AO6)+AN5</f>
        <v>281400</v>
      </c>
      <c r="AO6" s="33">
        <v>5.0000000000000001E-3</v>
      </c>
      <c r="AQ6" t="s">
        <v>17</v>
      </c>
      <c r="AR6" s="2">
        <f>(AR5*AS6)+AR5</f>
        <v>190950</v>
      </c>
      <c r="AS6" s="1">
        <v>5.0000000000000001E-3</v>
      </c>
      <c r="AU6" t="s">
        <v>17</v>
      </c>
      <c r="AV6" s="2">
        <f>(AV5*AW6)+AV5</f>
        <v>315000</v>
      </c>
      <c r="AW6" s="4">
        <v>0.05</v>
      </c>
      <c r="AY6" t="s">
        <v>17</v>
      </c>
      <c r="AZ6" s="2">
        <f>(AZ5*BA6)+AZ5</f>
        <v>1050000</v>
      </c>
      <c r="BA6" s="4">
        <v>0.05</v>
      </c>
      <c r="BC6" t="s">
        <v>17</v>
      </c>
      <c r="BD6" s="2">
        <f>(BD5*BE6)+BD5</f>
        <v>105000</v>
      </c>
      <c r="BE6" s="1">
        <v>0.05</v>
      </c>
    </row>
    <row r="7" spans="2:57" x14ac:dyDescent="0.2">
      <c r="B7" t="s">
        <v>18</v>
      </c>
      <c r="C7" s="2">
        <f t="shared" ref="C7:C9" si="0">(C6*D7)+C6</f>
        <v>165375</v>
      </c>
      <c r="D7" s="1">
        <v>0.05</v>
      </c>
      <c r="F7" s="12" t="s">
        <v>18</v>
      </c>
      <c r="G7" s="2" t="s">
        <v>21</v>
      </c>
      <c r="H7" s="1">
        <v>0</v>
      </c>
      <c r="I7" s="1"/>
      <c r="J7" s="12" t="s">
        <v>18</v>
      </c>
      <c r="K7" s="2" t="s">
        <v>21</v>
      </c>
      <c r="L7" s="1">
        <v>0</v>
      </c>
      <c r="N7" t="s">
        <v>18</v>
      </c>
      <c r="O7" s="2">
        <f t="shared" ref="O7:O9" si="1">(O6*P7)+O6</f>
        <v>84700</v>
      </c>
      <c r="P7" s="1">
        <v>0.1</v>
      </c>
      <c r="R7" t="s">
        <v>18</v>
      </c>
      <c r="S7" s="2">
        <f t="shared" ref="S7:S9" si="2">(S6*T7)+S6</f>
        <v>50000</v>
      </c>
      <c r="T7" s="1">
        <v>0</v>
      </c>
      <c r="V7" t="s">
        <v>18</v>
      </c>
      <c r="W7" s="2">
        <f t="shared" ref="W7:W8" si="3">(W6*X7)+W6</f>
        <v>507762.52169999998</v>
      </c>
      <c r="X7" s="1">
        <v>0.01</v>
      </c>
      <c r="Y7" s="1"/>
      <c r="Z7" t="s">
        <v>18</v>
      </c>
      <c r="AA7" s="2">
        <f t="shared" ref="AA7:AA9" si="4">(AA6*AB7)+AA6</f>
        <v>101505</v>
      </c>
      <c r="AB7" s="1">
        <v>0.01</v>
      </c>
      <c r="AC7" s="1"/>
      <c r="AD7" t="s">
        <v>18</v>
      </c>
      <c r="AE7" s="2">
        <f t="shared" ref="AE7:AE9" si="5">(AE6*AF7)+AE6</f>
        <v>203010</v>
      </c>
      <c r="AF7" s="1">
        <v>0.01</v>
      </c>
      <c r="AH7" t="s">
        <v>18</v>
      </c>
      <c r="AI7" s="2">
        <f t="shared" ref="AI7:AI9" si="6">(AI6*AJ7)+AI6</f>
        <v>203010</v>
      </c>
      <c r="AJ7" s="1">
        <v>0.01</v>
      </c>
      <c r="AM7" s="9" t="s">
        <v>18</v>
      </c>
      <c r="AN7" s="10">
        <f t="shared" ref="AN7:AN9" si="7">(AN6*AO7)+AN6</f>
        <v>284214</v>
      </c>
      <c r="AO7" s="30">
        <v>0.01</v>
      </c>
      <c r="AQ7" t="s">
        <v>18</v>
      </c>
      <c r="AR7" s="2">
        <f t="shared" ref="AR7:AR9" si="8">(AR6*AS7)+AR6</f>
        <v>192859.5</v>
      </c>
      <c r="AS7" s="1">
        <v>0.01</v>
      </c>
      <c r="AU7" t="s">
        <v>18</v>
      </c>
      <c r="AV7" s="2">
        <f t="shared" ref="AV7:AV9" si="9">(AV6*AW7)+AV6</f>
        <v>330750</v>
      </c>
      <c r="AW7" s="4">
        <v>0.05</v>
      </c>
      <c r="AY7" t="s">
        <v>18</v>
      </c>
      <c r="AZ7" s="2">
        <f t="shared" ref="AZ7:AZ9" si="10">(AZ6*BA7)+AZ6</f>
        <v>1113000</v>
      </c>
      <c r="BA7" s="4">
        <v>0.06</v>
      </c>
      <c r="BC7" t="s">
        <v>18</v>
      </c>
      <c r="BD7" s="2">
        <f t="shared" ref="BD7:BD9" si="11">(BD6*BE7)+BD6</f>
        <v>110250</v>
      </c>
      <c r="BE7" s="1">
        <v>0.05</v>
      </c>
    </row>
    <row r="8" spans="2:57" x14ac:dyDescent="0.2">
      <c r="B8" t="s">
        <v>19</v>
      </c>
      <c r="C8" s="2">
        <f t="shared" si="0"/>
        <v>173643.75</v>
      </c>
      <c r="D8" s="1">
        <v>0.05</v>
      </c>
      <c r="F8" s="12" t="s">
        <v>19</v>
      </c>
      <c r="G8" s="2" t="s">
        <v>21</v>
      </c>
      <c r="H8" s="1">
        <v>0</v>
      </c>
      <c r="I8" s="1"/>
      <c r="J8" s="12" t="s">
        <v>19</v>
      </c>
      <c r="K8" s="2" t="s">
        <v>21</v>
      </c>
      <c r="L8" s="1">
        <v>0</v>
      </c>
      <c r="N8" t="s">
        <v>19</v>
      </c>
      <c r="O8" s="2">
        <f t="shared" si="1"/>
        <v>93170</v>
      </c>
      <c r="P8" s="1">
        <v>0.1</v>
      </c>
      <c r="R8" t="s">
        <v>19</v>
      </c>
      <c r="S8" s="2">
        <f t="shared" si="2"/>
        <v>50000</v>
      </c>
      <c r="T8" s="1">
        <v>0</v>
      </c>
      <c r="V8" t="s">
        <v>19</v>
      </c>
      <c r="W8" s="2">
        <f t="shared" si="3"/>
        <v>512840.14691700001</v>
      </c>
      <c r="X8" s="1">
        <v>0.01</v>
      </c>
      <c r="Y8" s="1"/>
      <c r="Z8" t="s">
        <v>19</v>
      </c>
      <c r="AA8" s="2">
        <f t="shared" si="4"/>
        <v>102520.05</v>
      </c>
      <c r="AB8" s="1">
        <v>0.01</v>
      </c>
      <c r="AC8" s="1"/>
      <c r="AD8" t="s">
        <v>19</v>
      </c>
      <c r="AE8" s="2">
        <f t="shared" si="5"/>
        <v>205040.1</v>
      </c>
      <c r="AF8" s="1">
        <v>0.01</v>
      </c>
      <c r="AH8" t="s">
        <v>19</v>
      </c>
      <c r="AI8" s="2">
        <f t="shared" si="6"/>
        <v>205040.1</v>
      </c>
      <c r="AJ8" s="1">
        <v>0.01</v>
      </c>
      <c r="AM8" s="31" t="s">
        <v>19</v>
      </c>
      <c r="AN8" s="32">
        <f t="shared" si="7"/>
        <v>287056.14</v>
      </c>
      <c r="AO8" s="33">
        <v>0.01</v>
      </c>
      <c r="AQ8" t="s">
        <v>19</v>
      </c>
      <c r="AR8" s="2">
        <f t="shared" si="8"/>
        <v>194788.095</v>
      </c>
      <c r="AS8" s="1">
        <v>0.01</v>
      </c>
      <c r="AU8" t="s">
        <v>19</v>
      </c>
      <c r="AV8" s="2">
        <f t="shared" si="9"/>
        <v>347287.5</v>
      </c>
      <c r="AW8" s="4">
        <v>0.05</v>
      </c>
      <c r="AX8" s="4"/>
      <c r="AY8" t="s">
        <v>19</v>
      </c>
      <c r="AZ8" s="2">
        <f t="shared" si="10"/>
        <v>1179780</v>
      </c>
      <c r="BA8" s="4">
        <v>0.06</v>
      </c>
      <c r="BC8" t="s">
        <v>19</v>
      </c>
      <c r="BD8" s="2">
        <f t="shared" si="11"/>
        <v>115762.5</v>
      </c>
      <c r="BE8" s="1">
        <v>0.05</v>
      </c>
    </row>
    <row r="9" spans="2:57" x14ac:dyDescent="0.2">
      <c r="B9" t="s">
        <v>20</v>
      </c>
      <c r="C9" s="2">
        <f t="shared" si="0"/>
        <v>182325.9375</v>
      </c>
      <c r="D9" s="1">
        <v>0.05</v>
      </c>
      <c r="F9" s="12" t="s">
        <v>20</v>
      </c>
      <c r="G9" s="2" t="s">
        <v>21</v>
      </c>
      <c r="H9" s="1">
        <v>0</v>
      </c>
      <c r="I9" s="1"/>
      <c r="J9" s="12" t="s">
        <v>20</v>
      </c>
      <c r="K9" s="2" t="s">
        <v>21</v>
      </c>
      <c r="L9" s="1">
        <v>0</v>
      </c>
      <c r="N9" t="s">
        <v>20</v>
      </c>
      <c r="O9" s="2">
        <f t="shared" si="1"/>
        <v>102487</v>
      </c>
      <c r="P9" s="1">
        <v>0.1</v>
      </c>
      <c r="R9" t="s">
        <v>20</v>
      </c>
      <c r="S9" s="2">
        <f t="shared" si="2"/>
        <v>50000</v>
      </c>
      <c r="T9" s="1">
        <v>0</v>
      </c>
      <c r="V9" t="s">
        <v>20</v>
      </c>
      <c r="W9" s="2">
        <f>(W8*X9)+W8</f>
        <v>517968.54838617</v>
      </c>
      <c r="X9" s="1">
        <v>0.01</v>
      </c>
      <c r="Y9" s="1"/>
      <c r="Z9" t="s">
        <v>20</v>
      </c>
      <c r="AA9" s="2">
        <f t="shared" si="4"/>
        <v>103545.25050000001</v>
      </c>
      <c r="AB9" s="1">
        <v>0.01</v>
      </c>
      <c r="AC9" s="1"/>
      <c r="AD9" t="s">
        <v>20</v>
      </c>
      <c r="AE9" s="2">
        <f t="shared" si="5"/>
        <v>207090.50100000002</v>
      </c>
      <c r="AF9" s="1">
        <v>0.01</v>
      </c>
      <c r="AH9" t="s">
        <v>20</v>
      </c>
      <c r="AI9" s="2">
        <f t="shared" si="6"/>
        <v>207090.50100000002</v>
      </c>
      <c r="AJ9" s="1">
        <v>0.01</v>
      </c>
      <c r="AM9" s="9" t="s">
        <v>20</v>
      </c>
      <c r="AN9" s="10">
        <f t="shared" si="7"/>
        <v>289926.70140000002</v>
      </c>
      <c r="AO9" s="30">
        <v>0.01</v>
      </c>
      <c r="AQ9" t="s">
        <v>20</v>
      </c>
      <c r="AR9" s="2">
        <f t="shared" si="8"/>
        <v>196735.97594999999</v>
      </c>
      <c r="AS9" s="1">
        <v>0.01</v>
      </c>
      <c r="AU9" t="s">
        <v>20</v>
      </c>
      <c r="AV9" s="2">
        <f t="shared" si="9"/>
        <v>364651.875</v>
      </c>
      <c r="AW9" s="4">
        <v>0.05</v>
      </c>
      <c r="AX9" s="4"/>
      <c r="AY9" t="s">
        <v>20</v>
      </c>
      <c r="AZ9" s="2">
        <f t="shared" si="10"/>
        <v>1262364.6000000001</v>
      </c>
      <c r="BA9" s="4">
        <v>7.0000000000000007E-2</v>
      </c>
      <c r="BC9" t="s">
        <v>20</v>
      </c>
      <c r="BD9" s="2">
        <f t="shared" si="11"/>
        <v>121550.625</v>
      </c>
      <c r="BE9" s="1">
        <v>0.05</v>
      </c>
    </row>
    <row r="10" spans="2:57" x14ac:dyDescent="0.2">
      <c r="C10" s="2"/>
      <c r="D10" s="1"/>
      <c r="F10" s="12" t="s">
        <v>26</v>
      </c>
      <c r="G10" s="2">
        <f>C9</f>
        <v>182325.9375</v>
      </c>
      <c r="H10" s="1"/>
      <c r="I10" s="1"/>
      <c r="J10" s="12" t="s">
        <v>26</v>
      </c>
      <c r="K10" s="2">
        <f>Tabla32037[[#This Row],[Precio]]</f>
        <v>182325.9375</v>
      </c>
      <c r="L10" s="1"/>
      <c r="N10" s="12" t="s">
        <v>26</v>
      </c>
      <c r="O10" s="2">
        <f t="shared" ref="O10:O13" si="12">(O9*P10)+O9</f>
        <v>112735.7</v>
      </c>
      <c r="P10" s="1">
        <v>0.1</v>
      </c>
      <c r="R10" s="12" t="s">
        <v>26</v>
      </c>
      <c r="S10" s="2">
        <f t="shared" ref="S10:S13" si="13">(S9*T10)+S9</f>
        <v>52500</v>
      </c>
      <c r="T10" s="1">
        <v>0.05</v>
      </c>
      <c r="V10" s="12" t="s">
        <v>26</v>
      </c>
      <c r="W10" s="2">
        <f t="shared" ref="W10:W13" si="14">(W9*X10)+W9</f>
        <v>523148.23387003172</v>
      </c>
      <c r="X10" s="1">
        <v>0.01</v>
      </c>
      <c r="Y10" s="1"/>
      <c r="Z10" s="12" t="s">
        <v>26</v>
      </c>
      <c r="AA10" s="2">
        <f t="shared" ref="AA10:AA13" si="15">(AA9*AB10)+AA9</f>
        <v>104580.703005</v>
      </c>
      <c r="AB10" s="1">
        <v>0.01</v>
      </c>
      <c r="AC10" s="1"/>
      <c r="AD10" s="12" t="s">
        <v>26</v>
      </c>
      <c r="AE10" s="2">
        <f t="shared" ref="AE10:AE13" si="16">(AE9*AF10)+AE9</f>
        <v>209161.40601000001</v>
      </c>
      <c r="AF10" s="1">
        <v>0.01</v>
      </c>
      <c r="AH10" s="12" t="s">
        <v>26</v>
      </c>
      <c r="AI10" s="2">
        <f>(AI9*AJ10)+AI9</f>
        <v>209161.40601000001</v>
      </c>
      <c r="AJ10" s="1">
        <v>0.01</v>
      </c>
      <c r="AM10" s="34" t="s">
        <v>26</v>
      </c>
      <c r="AN10" s="32">
        <f t="shared" ref="AN10:AN13" si="17">(AN9*AO10)+AN9</f>
        <v>292825.968414</v>
      </c>
      <c r="AO10" s="33">
        <v>0.01</v>
      </c>
      <c r="AQ10" s="12" t="s">
        <v>26</v>
      </c>
      <c r="AR10" s="2">
        <f>(AR9*AS10)+AR9</f>
        <v>198703.33570949998</v>
      </c>
      <c r="AS10" s="1">
        <v>0.01</v>
      </c>
      <c r="AU10" s="12" t="s">
        <v>26</v>
      </c>
      <c r="AV10" s="2">
        <f t="shared" ref="AV10:AV13" si="18">(AV9*AW10)+AV9</f>
        <v>368298.39374999999</v>
      </c>
      <c r="AW10" s="1">
        <v>0.01</v>
      </c>
      <c r="AX10" s="1"/>
      <c r="AY10" s="12" t="s">
        <v>26</v>
      </c>
      <c r="AZ10" s="2">
        <f t="shared" ref="AZ10:AZ13" si="19">(AZ9*BA10)+AZ9</f>
        <v>1350730.1220000002</v>
      </c>
      <c r="BA10" s="1">
        <v>7.0000000000000007E-2</v>
      </c>
      <c r="BC10" s="12" t="s">
        <v>26</v>
      </c>
      <c r="BD10" s="2">
        <f t="shared" ref="BD10:BD13" si="20">(BD9*BE10)+BD9</f>
        <v>122766.13125000001</v>
      </c>
      <c r="BE10" s="1">
        <v>0.01</v>
      </c>
    </row>
    <row r="11" spans="2:57" x14ac:dyDescent="0.2">
      <c r="C11" s="2"/>
      <c r="D11" s="1"/>
      <c r="F11" s="12" t="s">
        <v>27</v>
      </c>
      <c r="G11" s="2">
        <f t="shared" ref="G11:G13" si="21">(G10*H11)+G10</f>
        <v>200558.53125</v>
      </c>
      <c r="H11" s="1">
        <v>0.1</v>
      </c>
      <c r="I11" s="1"/>
      <c r="J11" s="12" t="s">
        <v>27</v>
      </c>
      <c r="K11" s="2">
        <f t="shared" ref="K11:K13" si="22">(K10*L11)+K10</f>
        <v>200558.53125</v>
      </c>
      <c r="L11" s="1">
        <v>0.1</v>
      </c>
      <c r="N11" s="12" t="s">
        <v>27</v>
      </c>
      <c r="O11" s="2">
        <f t="shared" si="12"/>
        <v>129646.05499999999</v>
      </c>
      <c r="P11" s="1">
        <v>0.15</v>
      </c>
      <c r="R11" s="12" t="s">
        <v>27</v>
      </c>
      <c r="S11" s="2">
        <f t="shared" si="13"/>
        <v>55125</v>
      </c>
      <c r="T11" s="1">
        <v>0.05</v>
      </c>
      <c r="V11" s="12" t="s">
        <v>27</v>
      </c>
      <c r="W11" s="2">
        <f t="shared" si="14"/>
        <v>544074.16322483297</v>
      </c>
      <c r="X11" s="1">
        <v>0.04</v>
      </c>
      <c r="Y11" s="1"/>
      <c r="Z11" s="12" t="s">
        <v>27</v>
      </c>
      <c r="AA11" s="2">
        <f t="shared" si="15"/>
        <v>108763.9311252</v>
      </c>
      <c r="AB11" s="1">
        <v>0.04</v>
      </c>
      <c r="AC11" s="1"/>
      <c r="AD11" s="12" t="s">
        <v>27</v>
      </c>
      <c r="AE11" s="2">
        <f t="shared" si="16"/>
        <v>217527.86225040001</v>
      </c>
      <c r="AF11" s="1">
        <v>0.04</v>
      </c>
      <c r="AH11" s="12" t="s">
        <v>27</v>
      </c>
      <c r="AI11" s="2">
        <f t="shared" ref="AI11:AI13" si="23">(AI10*AJ11)+AI10</f>
        <v>217527.86225040001</v>
      </c>
      <c r="AJ11" s="1">
        <v>0.04</v>
      </c>
      <c r="AM11" s="35" t="s">
        <v>27</v>
      </c>
      <c r="AN11" s="10">
        <f t="shared" si="17"/>
        <v>304539.00715055998</v>
      </c>
      <c r="AO11" s="30">
        <v>0.04</v>
      </c>
      <c r="AQ11" s="12" t="s">
        <v>27</v>
      </c>
      <c r="AR11" s="2">
        <f>(AR10*AS11)+AR10</f>
        <v>206651.46913787999</v>
      </c>
      <c r="AS11" s="1">
        <v>0.04</v>
      </c>
      <c r="AU11" s="12" t="s">
        <v>27</v>
      </c>
      <c r="AV11" s="2">
        <f t="shared" si="18"/>
        <v>383030.32949999999</v>
      </c>
      <c r="AW11" s="1">
        <v>0.04</v>
      </c>
      <c r="AX11" s="1"/>
      <c r="AY11" s="12" t="s">
        <v>27</v>
      </c>
      <c r="AZ11" s="2">
        <f t="shared" si="19"/>
        <v>1445281.2305400001</v>
      </c>
      <c r="BA11" s="1">
        <v>7.0000000000000007E-2</v>
      </c>
      <c r="BC11" s="12" t="s">
        <v>27</v>
      </c>
      <c r="BD11" s="2">
        <f t="shared" si="20"/>
        <v>127676.77650000001</v>
      </c>
      <c r="BE11" s="1">
        <v>0.04</v>
      </c>
    </row>
    <row r="12" spans="2:57" x14ac:dyDescent="0.2">
      <c r="C12" s="2"/>
      <c r="D12" s="1"/>
      <c r="F12" s="12" t="s">
        <v>28</v>
      </c>
      <c r="G12" s="2">
        <f t="shared" si="21"/>
        <v>220614.38437499999</v>
      </c>
      <c r="H12" s="1">
        <v>0.1</v>
      </c>
      <c r="I12" s="1"/>
      <c r="J12" s="12" t="s">
        <v>28</v>
      </c>
      <c r="K12" s="2">
        <f t="shared" si="22"/>
        <v>220614.38437499999</v>
      </c>
      <c r="L12" s="1">
        <v>0.1</v>
      </c>
      <c r="N12" s="12" t="s">
        <v>28</v>
      </c>
      <c r="O12" s="2">
        <f t="shared" si="12"/>
        <v>142610.6605</v>
      </c>
      <c r="P12" s="1">
        <v>0.1</v>
      </c>
      <c r="R12" s="12" t="s">
        <v>28</v>
      </c>
      <c r="S12" s="2">
        <f t="shared" si="13"/>
        <v>57881.25</v>
      </c>
      <c r="T12" s="1">
        <v>0.05</v>
      </c>
      <c r="V12" s="12" t="s">
        <v>28</v>
      </c>
      <c r="W12" s="2">
        <f t="shared" si="14"/>
        <v>565837.1297538263</v>
      </c>
      <c r="X12" s="1">
        <v>0.04</v>
      </c>
      <c r="Y12" s="1"/>
      <c r="Z12" s="12" t="s">
        <v>28</v>
      </c>
      <c r="AA12" s="2">
        <f t="shared" si="15"/>
        <v>113114.48837020801</v>
      </c>
      <c r="AB12" s="1">
        <v>0.04</v>
      </c>
      <c r="AC12" s="1"/>
      <c r="AD12" s="12" t="s">
        <v>28</v>
      </c>
      <c r="AE12" s="2">
        <f t="shared" si="16"/>
        <v>226228.97674041602</v>
      </c>
      <c r="AF12" s="1">
        <v>0.04</v>
      </c>
      <c r="AH12" s="12" t="s">
        <v>28</v>
      </c>
      <c r="AI12" s="2">
        <f t="shared" si="23"/>
        <v>226228.97674041602</v>
      </c>
      <c r="AJ12" s="1">
        <v>0.04</v>
      </c>
      <c r="AM12" s="34" t="s">
        <v>28</v>
      </c>
      <c r="AN12" s="32">
        <f>(AN11*AO12)+AN11</f>
        <v>316720.56743658235</v>
      </c>
      <c r="AO12" s="33">
        <v>0.04</v>
      </c>
      <c r="AQ12" s="12" t="s">
        <v>28</v>
      </c>
      <c r="AR12" s="2">
        <f t="shared" ref="AR12:AR13" si="24">(AR11*AS12)+AR11</f>
        <v>214917.52790339518</v>
      </c>
      <c r="AS12" s="1">
        <v>0.04</v>
      </c>
      <c r="AU12" s="12" t="s">
        <v>28</v>
      </c>
      <c r="AV12" s="2">
        <f t="shared" si="18"/>
        <v>398351.54268000001</v>
      </c>
      <c r="AW12" s="1">
        <v>0.04</v>
      </c>
      <c r="AX12" s="1"/>
      <c r="AY12" s="12" t="s">
        <v>28</v>
      </c>
      <c r="AZ12" s="2">
        <f t="shared" si="19"/>
        <v>1546450.9166778002</v>
      </c>
      <c r="BA12" s="1">
        <v>7.0000000000000007E-2</v>
      </c>
      <c r="BC12" s="12" t="s">
        <v>28</v>
      </c>
      <c r="BD12" s="2">
        <f t="shared" si="20"/>
        <v>132783.84755999999</v>
      </c>
      <c r="BE12" s="1">
        <v>0.04</v>
      </c>
    </row>
    <row r="13" spans="2:57" x14ac:dyDescent="0.2">
      <c r="C13" s="2"/>
      <c r="D13" s="1"/>
      <c r="F13" s="12" t="s">
        <v>29</v>
      </c>
      <c r="G13" s="2">
        <f t="shared" si="21"/>
        <v>242675.8228125</v>
      </c>
      <c r="H13" s="1">
        <v>0.1</v>
      </c>
      <c r="I13" s="1"/>
      <c r="J13" s="12" t="s">
        <v>29</v>
      </c>
      <c r="K13" s="2">
        <f t="shared" si="22"/>
        <v>242675.8228125</v>
      </c>
      <c r="L13" s="1">
        <v>0.1</v>
      </c>
      <c r="N13" s="12" t="s">
        <v>29</v>
      </c>
      <c r="O13" s="2">
        <f t="shared" si="12"/>
        <v>156871.72654999999</v>
      </c>
      <c r="P13" s="1">
        <v>0.1</v>
      </c>
      <c r="R13" s="12" t="s">
        <v>29</v>
      </c>
      <c r="S13" s="2">
        <f t="shared" si="13"/>
        <v>60775.3125</v>
      </c>
      <c r="T13" s="1">
        <v>0.05</v>
      </c>
      <c r="V13" s="12" t="s">
        <v>29</v>
      </c>
      <c r="W13" s="2">
        <f t="shared" si="14"/>
        <v>588470.61494397931</v>
      </c>
      <c r="X13" s="1">
        <v>0.04</v>
      </c>
      <c r="Y13" s="1"/>
      <c r="Z13" s="12" t="s">
        <v>29</v>
      </c>
      <c r="AA13" s="2">
        <f t="shared" si="15"/>
        <v>117639.06790501633</v>
      </c>
      <c r="AB13" s="1">
        <v>0.04</v>
      </c>
      <c r="AC13" s="1"/>
      <c r="AD13" s="12" t="s">
        <v>29</v>
      </c>
      <c r="AE13" s="2">
        <f t="shared" si="16"/>
        <v>235278.13581003266</v>
      </c>
      <c r="AF13" s="1">
        <v>0.04</v>
      </c>
      <c r="AH13" s="12" t="s">
        <v>29</v>
      </c>
      <c r="AI13" s="2">
        <f t="shared" si="23"/>
        <v>235278.13581003266</v>
      </c>
      <c r="AJ13" s="1">
        <v>0.04</v>
      </c>
      <c r="AM13" s="35" t="s">
        <v>29</v>
      </c>
      <c r="AN13" s="10">
        <f t="shared" si="17"/>
        <v>329389.39013404562</v>
      </c>
      <c r="AO13" s="30">
        <v>0.04</v>
      </c>
      <c r="AQ13" s="12" t="s">
        <v>29</v>
      </c>
      <c r="AR13" s="2">
        <f t="shared" si="24"/>
        <v>223514.22901953099</v>
      </c>
      <c r="AS13" s="1">
        <v>0.04</v>
      </c>
      <c r="AU13" s="12" t="s">
        <v>29</v>
      </c>
      <c r="AV13" s="2">
        <f t="shared" si="18"/>
        <v>414285.60438720003</v>
      </c>
      <c r="AW13" s="1">
        <v>0.04</v>
      </c>
      <c r="AX13" s="1"/>
      <c r="AY13" s="12" t="s">
        <v>29</v>
      </c>
      <c r="AZ13" s="2">
        <f t="shared" si="19"/>
        <v>1608308.9533449123</v>
      </c>
      <c r="BA13" s="1">
        <v>0.04</v>
      </c>
      <c r="BC13" s="12" t="s">
        <v>29</v>
      </c>
      <c r="BD13" s="2">
        <f t="shared" si="20"/>
        <v>138095.2014624</v>
      </c>
      <c r="BE13" s="1">
        <v>0.04</v>
      </c>
    </row>
    <row r="14" spans="2:57" ht="17" customHeight="1" x14ac:dyDescent="0.2">
      <c r="C14" s="2"/>
      <c r="D14" s="2"/>
      <c r="F14" s="12">
        <v>101</v>
      </c>
      <c r="G14" s="2">
        <f>G13+Tabla32037[[#This Row],[Incremento]]</f>
        <v>244299.8228125</v>
      </c>
      <c r="H14" s="2">
        <v>1624</v>
      </c>
      <c r="I14" s="1"/>
      <c r="J14" s="12">
        <v>101</v>
      </c>
      <c r="K14" s="2">
        <f>K13+Tabla32037[[#This Row],[Incremento]]</f>
        <v>244299.8228125</v>
      </c>
      <c r="L14" s="2">
        <v>1624</v>
      </c>
      <c r="N14" s="12">
        <v>101</v>
      </c>
      <c r="O14" s="2">
        <f>O13+Tabla32037[[#This Row],[Incremento]]</f>
        <v>158495.72654999999</v>
      </c>
      <c r="P14" s="2">
        <v>1624</v>
      </c>
      <c r="R14" s="12">
        <v>101</v>
      </c>
      <c r="S14" s="2">
        <f>S13+Tabla32037[[#This Row],[Incremento]]</f>
        <v>62399.3125</v>
      </c>
      <c r="T14" s="2">
        <v>1624</v>
      </c>
      <c r="V14" s="12">
        <v>101</v>
      </c>
      <c r="W14" s="2">
        <f>W13+Tabla32037[[#This Row],[Incremento]]</f>
        <v>590094.61494397931</v>
      </c>
      <c r="X14" s="2">
        <v>1624</v>
      </c>
      <c r="Y14" s="2"/>
      <c r="Z14" s="12">
        <v>101</v>
      </c>
      <c r="AA14" s="2">
        <f>AA13+Tabla32037[[#This Row],[Incremento]]</f>
        <v>119263.06790501633</v>
      </c>
      <c r="AB14" s="2">
        <v>1624</v>
      </c>
      <c r="AC14" s="2"/>
      <c r="AD14" s="12">
        <v>101</v>
      </c>
      <c r="AE14" s="2">
        <f>AE13+Tabla32037[[#This Row],[Incremento]]</f>
        <v>236902.13581003266</v>
      </c>
      <c r="AF14" s="2">
        <v>1624</v>
      </c>
      <c r="AH14" s="12">
        <v>101</v>
      </c>
      <c r="AI14" s="2">
        <f>AI13+Tabla32037[[#This Row],[Incremento]]</f>
        <v>236902.13581003266</v>
      </c>
      <c r="AJ14" s="2">
        <v>1624</v>
      </c>
      <c r="AM14" s="34">
        <v>101</v>
      </c>
      <c r="AN14" s="32">
        <f>AN13+Tabla32037[[#This Row],[Incremento]]</f>
        <v>331013.39013404562</v>
      </c>
      <c r="AO14" s="32">
        <v>1624</v>
      </c>
      <c r="AQ14" s="12">
        <v>101</v>
      </c>
      <c r="AR14" s="2">
        <f>AR13+Tabla32037[[#This Row],[Incremento]]</f>
        <v>225138.22901953099</v>
      </c>
      <c r="AS14" s="2">
        <v>1624</v>
      </c>
      <c r="AU14" s="12">
        <v>101</v>
      </c>
      <c r="AV14" s="2">
        <f>AV13+Tabla32037[[#This Row],[Incremento]]</f>
        <v>415909.60438720003</v>
      </c>
      <c r="AW14" s="2">
        <v>1624</v>
      </c>
      <c r="AX14" s="2"/>
      <c r="AY14" s="12">
        <v>101</v>
      </c>
      <c r="AZ14" s="2">
        <f>AZ13+Tabla32037[[#This Row],[Incremento]]</f>
        <v>1609932.9533449123</v>
      </c>
      <c r="BA14" s="2">
        <v>1624</v>
      </c>
      <c r="BC14" s="12">
        <v>101</v>
      </c>
      <c r="BD14" s="2">
        <f>BD13+Tabla32037[[#This Row],[Incremento]]</f>
        <v>139719.2014624</v>
      </c>
      <c r="BE14" s="2">
        <v>1624</v>
      </c>
    </row>
    <row r="15" spans="2:57" ht="17" customHeight="1" x14ac:dyDescent="0.2">
      <c r="C15" s="2"/>
      <c r="D15" s="2"/>
      <c r="F15" s="12">
        <v>102</v>
      </c>
      <c r="G15" s="2">
        <f>G14+Tabla32037[[#This Row],[Incremento]]</f>
        <v>245923.8228125</v>
      </c>
      <c r="H15" s="2">
        <v>1624</v>
      </c>
      <c r="I15" s="1"/>
      <c r="J15" s="12">
        <v>102</v>
      </c>
      <c r="K15" s="2">
        <f>K14+Tabla32037[[#This Row],[Incremento]]</f>
        <v>245923.8228125</v>
      </c>
      <c r="L15" s="2">
        <v>1624</v>
      </c>
      <c r="N15" s="12">
        <v>102</v>
      </c>
      <c r="O15" s="2">
        <f>O14+Tabla32037[[#This Row],[Incremento]]</f>
        <v>160119.72654999999</v>
      </c>
      <c r="P15" s="2">
        <v>1624</v>
      </c>
      <c r="R15" s="12">
        <v>102</v>
      </c>
      <c r="S15" s="2">
        <f>S14+Tabla32037[[#This Row],[Incremento]]</f>
        <v>64023.3125</v>
      </c>
      <c r="T15" s="2">
        <v>1624</v>
      </c>
      <c r="V15" s="12">
        <v>102</v>
      </c>
      <c r="W15" s="2">
        <f>W14+Tabla32037[[#This Row],[Incremento]]</f>
        <v>591718.61494397931</v>
      </c>
      <c r="X15" s="2">
        <v>1624</v>
      </c>
      <c r="Y15" s="2"/>
      <c r="Z15" s="12">
        <v>102</v>
      </c>
      <c r="AA15" s="2">
        <f>AA14+Tabla32037[[#This Row],[Incremento]]</f>
        <v>120887.06790501633</v>
      </c>
      <c r="AB15" s="2">
        <v>1624</v>
      </c>
      <c r="AC15" s="2"/>
      <c r="AD15" s="12">
        <v>102</v>
      </c>
      <c r="AE15" s="2">
        <f>AE14+Tabla32037[[#This Row],[Incremento]]</f>
        <v>238526.13581003266</v>
      </c>
      <c r="AF15" s="2">
        <v>1624</v>
      </c>
      <c r="AH15" s="12">
        <v>102</v>
      </c>
      <c r="AI15" s="2">
        <f>AI14+Tabla32037[[#This Row],[Incremento]]</f>
        <v>238526.13581003266</v>
      </c>
      <c r="AJ15" s="2">
        <v>1624</v>
      </c>
      <c r="AM15" s="35">
        <v>102</v>
      </c>
      <c r="AN15" s="10">
        <f>AN14+Tabla32037[[#This Row],[Incremento]]</f>
        <v>332637.39013404562</v>
      </c>
      <c r="AO15" s="10">
        <v>1624</v>
      </c>
      <c r="AQ15" s="12">
        <v>102</v>
      </c>
      <c r="AR15" s="2">
        <f>AR14+Tabla32037[[#This Row],[Incremento]]</f>
        <v>226762.22901953099</v>
      </c>
      <c r="AS15" s="2">
        <v>1624</v>
      </c>
      <c r="AU15" s="12">
        <v>102</v>
      </c>
      <c r="AV15" s="2">
        <f>AV14+Tabla32037[[#This Row],[Incremento]]</f>
        <v>417533.60438720003</v>
      </c>
      <c r="AW15" s="2">
        <v>1624</v>
      </c>
      <c r="AX15" s="2"/>
      <c r="AY15" s="12">
        <v>102</v>
      </c>
      <c r="AZ15" s="2">
        <f>AZ14+Tabla32037[[#This Row],[Incremento]]</f>
        <v>1611556.9533449123</v>
      </c>
      <c r="BA15" s="2">
        <v>1624</v>
      </c>
      <c r="BC15" s="12">
        <v>102</v>
      </c>
      <c r="BD15" s="2">
        <f>BD14+Tabla32037[[#This Row],[Incremento]]</f>
        <v>141343.2014624</v>
      </c>
      <c r="BE15" s="2">
        <v>1624</v>
      </c>
    </row>
    <row r="16" spans="2:57" ht="17" customHeight="1" x14ac:dyDescent="0.2">
      <c r="C16" s="2"/>
      <c r="D16" s="2"/>
      <c r="F16" s="12">
        <v>103</v>
      </c>
      <c r="G16" s="2">
        <f>G15+Tabla32037[[#This Row],[Incremento]]</f>
        <v>247547.8228125</v>
      </c>
      <c r="H16" s="2">
        <v>1624</v>
      </c>
      <c r="I16" s="1"/>
      <c r="J16" s="12">
        <v>103</v>
      </c>
      <c r="K16" s="2">
        <f>K15+Tabla32037[[#This Row],[Incremento]]</f>
        <v>247547.8228125</v>
      </c>
      <c r="L16" s="2">
        <v>1624</v>
      </c>
      <c r="N16" s="12">
        <v>103</v>
      </c>
      <c r="O16" s="2">
        <f>O15+Tabla32037[[#This Row],[Incremento]]</f>
        <v>161743.72654999999</v>
      </c>
      <c r="P16" s="2">
        <v>1624</v>
      </c>
      <c r="R16" s="12">
        <v>103</v>
      </c>
      <c r="S16" s="2">
        <f>S15+Tabla32037[[#This Row],[Incremento]]</f>
        <v>65647.3125</v>
      </c>
      <c r="T16" s="2">
        <v>1624</v>
      </c>
      <c r="V16" s="12">
        <v>103</v>
      </c>
      <c r="W16" s="2">
        <f>W15+Tabla32037[[#This Row],[Incremento]]</f>
        <v>593342.61494397931</v>
      </c>
      <c r="X16" s="2">
        <v>1624</v>
      </c>
      <c r="Y16" s="2"/>
      <c r="Z16" s="12">
        <v>103</v>
      </c>
      <c r="AA16" s="2">
        <f>AA15+Tabla32037[[#This Row],[Incremento]]</f>
        <v>122511.06790501633</v>
      </c>
      <c r="AB16" s="2">
        <v>1624</v>
      </c>
      <c r="AC16" s="2"/>
      <c r="AD16" s="12">
        <v>103</v>
      </c>
      <c r="AE16" s="2">
        <f>AE15+Tabla32037[[#This Row],[Incremento]]</f>
        <v>240150.13581003266</v>
      </c>
      <c r="AF16" s="2">
        <v>1624</v>
      </c>
      <c r="AH16" s="12">
        <v>103</v>
      </c>
      <c r="AI16" s="2">
        <f>AI15+Tabla32037[[#This Row],[Incremento]]</f>
        <v>240150.13581003266</v>
      </c>
      <c r="AJ16" s="2">
        <v>1624</v>
      </c>
      <c r="AM16" s="34">
        <v>103</v>
      </c>
      <c r="AN16" s="32">
        <f>AN15+Tabla32037[[#This Row],[Incremento]]</f>
        <v>334261.39013404562</v>
      </c>
      <c r="AO16" s="32">
        <v>1624</v>
      </c>
      <c r="AQ16" s="12">
        <v>103</v>
      </c>
      <c r="AR16" s="2">
        <f>AR15+Tabla32037[[#This Row],[Incremento]]</f>
        <v>228386.22901953099</v>
      </c>
      <c r="AS16" s="2">
        <v>1624</v>
      </c>
      <c r="AU16" s="12">
        <v>103</v>
      </c>
      <c r="AV16" s="2">
        <f>AV15+Tabla32037[[#This Row],[Incremento]]</f>
        <v>419157.60438720003</v>
      </c>
      <c r="AW16" s="2">
        <v>1624</v>
      </c>
      <c r="AX16" s="2"/>
      <c r="AY16" s="12">
        <v>103</v>
      </c>
      <c r="AZ16" s="2">
        <f>AZ15+Tabla32037[[#This Row],[Incremento]]</f>
        <v>1613180.9533449123</v>
      </c>
      <c r="BA16" s="2">
        <v>1624</v>
      </c>
      <c r="BC16" s="12">
        <v>103</v>
      </c>
      <c r="BD16" s="2">
        <f>BD15+Tabla32037[[#This Row],[Incremento]]</f>
        <v>142967.2014624</v>
      </c>
      <c r="BE16" s="2">
        <v>1624</v>
      </c>
    </row>
    <row r="17" spans="3:57" ht="17" customHeight="1" x14ac:dyDescent="0.2">
      <c r="C17" s="2"/>
      <c r="D17" s="2"/>
      <c r="F17" s="12">
        <v>104</v>
      </c>
      <c r="G17" s="2">
        <f>G16+Tabla32037[[#This Row],[Incremento]]</f>
        <v>249171.8228125</v>
      </c>
      <c r="H17" s="2">
        <v>1624</v>
      </c>
      <c r="I17" s="1"/>
      <c r="J17" s="12">
        <v>104</v>
      </c>
      <c r="K17" s="2">
        <f>K16+Tabla32037[[#This Row],[Incremento]]</f>
        <v>249171.8228125</v>
      </c>
      <c r="L17" s="2">
        <v>1624</v>
      </c>
      <c r="N17" s="12">
        <v>104</v>
      </c>
      <c r="O17" s="2">
        <f>O16+Tabla32037[[#This Row],[Incremento]]</f>
        <v>163367.72654999999</v>
      </c>
      <c r="P17" s="2">
        <v>1624</v>
      </c>
      <c r="R17" s="12">
        <v>104</v>
      </c>
      <c r="S17" s="2">
        <f>S16+Tabla32037[[#This Row],[Incremento]]</f>
        <v>67271.3125</v>
      </c>
      <c r="T17" s="2">
        <v>1624</v>
      </c>
      <c r="V17" s="12">
        <v>104</v>
      </c>
      <c r="W17" s="2">
        <f>W16+Tabla32037[[#This Row],[Incremento]]</f>
        <v>594966.61494397931</v>
      </c>
      <c r="X17" s="2">
        <v>1624</v>
      </c>
      <c r="Y17" s="2"/>
      <c r="Z17" s="12">
        <v>104</v>
      </c>
      <c r="AA17" s="2">
        <f>AA16+Tabla32037[[#This Row],[Incremento]]</f>
        <v>124135.06790501633</v>
      </c>
      <c r="AB17" s="2">
        <v>1624</v>
      </c>
      <c r="AC17" s="2"/>
      <c r="AD17" s="12">
        <v>104</v>
      </c>
      <c r="AE17" s="2">
        <f>AE16+Tabla32037[[#This Row],[Incremento]]</f>
        <v>241774.13581003266</v>
      </c>
      <c r="AF17" s="2">
        <v>1624</v>
      </c>
      <c r="AH17" s="12">
        <v>104</v>
      </c>
      <c r="AI17" s="2">
        <f>AI16+Tabla32037[[#This Row],[Incremento]]</f>
        <v>241774.13581003266</v>
      </c>
      <c r="AJ17" s="2">
        <v>1624</v>
      </c>
      <c r="AM17" s="35">
        <v>104</v>
      </c>
      <c r="AN17" s="10">
        <f>AN16+Tabla32037[[#This Row],[Incremento]]</f>
        <v>335885.39013404562</v>
      </c>
      <c r="AO17" s="10">
        <v>1624</v>
      </c>
      <c r="AQ17" s="12">
        <v>104</v>
      </c>
      <c r="AR17" s="2">
        <f>AR16+Tabla32037[[#This Row],[Incremento]]</f>
        <v>230010.22901953099</v>
      </c>
      <c r="AS17" s="2">
        <v>1624</v>
      </c>
      <c r="AU17" s="12">
        <v>104</v>
      </c>
      <c r="AV17" s="2">
        <f>AV16+Tabla32037[[#This Row],[Incremento]]</f>
        <v>420781.60438720003</v>
      </c>
      <c r="AW17" s="2">
        <v>1624</v>
      </c>
      <c r="AX17" s="2"/>
      <c r="AY17" s="12">
        <v>104</v>
      </c>
      <c r="AZ17" s="2">
        <f>AZ16+Tabla32037[[#This Row],[Incremento]]</f>
        <v>1614804.9533449123</v>
      </c>
      <c r="BA17" s="2">
        <v>1624</v>
      </c>
      <c r="BC17" s="12">
        <v>104</v>
      </c>
      <c r="BD17" s="2">
        <f>BD16+Tabla32037[[#This Row],[Incremento]]</f>
        <v>144591.2014624</v>
      </c>
      <c r="BE17" s="2">
        <v>1624</v>
      </c>
    </row>
    <row r="18" spans="3:57" ht="17" customHeight="1" x14ac:dyDescent="0.2">
      <c r="C18" s="2"/>
      <c r="D18" s="2"/>
      <c r="F18" s="12">
        <v>105</v>
      </c>
      <c r="G18" s="2">
        <f>G17+Tabla32037[[#This Row],[Incremento]]</f>
        <v>250795.8228125</v>
      </c>
      <c r="H18" s="2">
        <v>1624</v>
      </c>
      <c r="J18" s="12">
        <v>105</v>
      </c>
      <c r="K18" s="2">
        <f>K17+Tabla32037[[#This Row],[Incremento]]</f>
        <v>250795.8228125</v>
      </c>
      <c r="L18" s="2">
        <v>1624</v>
      </c>
      <c r="N18" s="12">
        <v>105</v>
      </c>
      <c r="O18" s="2">
        <f>O17+Tabla32037[[#This Row],[Incremento]]</f>
        <v>164991.72654999999</v>
      </c>
      <c r="P18" s="2">
        <v>1624</v>
      </c>
      <c r="R18" s="12">
        <v>105</v>
      </c>
      <c r="S18" s="2">
        <f>S17+Tabla32037[[#This Row],[Incremento]]</f>
        <v>68895.3125</v>
      </c>
      <c r="T18" s="2">
        <v>1624</v>
      </c>
      <c r="V18" s="12">
        <v>105</v>
      </c>
      <c r="W18" s="2">
        <f>W17+Tabla32037[[#This Row],[Incremento]]</f>
        <v>596590.61494397931</v>
      </c>
      <c r="X18" s="2">
        <v>1624</v>
      </c>
      <c r="Y18" s="2"/>
      <c r="Z18" s="12">
        <v>105</v>
      </c>
      <c r="AA18" s="2">
        <f>AA17+Tabla32037[[#This Row],[Incremento]]</f>
        <v>125759.06790501633</v>
      </c>
      <c r="AB18" s="2">
        <v>1624</v>
      </c>
      <c r="AC18" s="2"/>
      <c r="AD18" s="12">
        <v>105</v>
      </c>
      <c r="AE18" s="2">
        <f>AE17+Tabla32037[[#This Row],[Incremento]]</f>
        <v>243398.13581003266</v>
      </c>
      <c r="AF18" s="2">
        <v>1624</v>
      </c>
      <c r="AH18" s="12">
        <v>105</v>
      </c>
      <c r="AI18" s="2">
        <f>AI17+Tabla32037[[#This Row],[Incremento]]</f>
        <v>243398.13581003266</v>
      </c>
      <c r="AJ18" s="2">
        <v>1624</v>
      </c>
      <c r="AM18" s="34">
        <v>105</v>
      </c>
      <c r="AN18" s="32">
        <f>AN17+Tabla32037[[#This Row],[Incremento]]</f>
        <v>337509.39013404562</v>
      </c>
      <c r="AO18" s="32">
        <v>1624</v>
      </c>
      <c r="AQ18" s="12">
        <v>105</v>
      </c>
      <c r="AR18" s="2">
        <f>AR17+Tabla32037[[#This Row],[Incremento]]</f>
        <v>231634.22901953099</v>
      </c>
      <c r="AS18" s="2">
        <v>1624</v>
      </c>
      <c r="AU18" s="12">
        <v>105</v>
      </c>
      <c r="AV18" s="2">
        <f>AV17+Tabla32037[[#This Row],[Incremento]]</f>
        <v>422405.60438720003</v>
      </c>
      <c r="AW18" s="2">
        <v>1624</v>
      </c>
      <c r="AX18" s="2"/>
      <c r="AY18" s="12">
        <v>105</v>
      </c>
      <c r="AZ18" s="2">
        <f>AZ17+Tabla32037[[#This Row],[Incremento]]</f>
        <v>1616428.9533449123</v>
      </c>
      <c r="BA18" s="2">
        <v>1624</v>
      </c>
      <c r="BC18" s="12">
        <v>105</v>
      </c>
      <c r="BD18" s="2">
        <f>BD17+Tabla32037[[#This Row],[Incremento]]</f>
        <v>146215.2014624</v>
      </c>
      <c r="BE18" s="2">
        <v>1624</v>
      </c>
    </row>
    <row r="19" spans="3:57" ht="17" customHeight="1" x14ac:dyDescent="0.2">
      <c r="C19" s="2"/>
      <c r="D19" s="2"/>
      <c r="F19" s="12">
        <v>106</v>
      </c>
      <c r="G19" s="2">
        <f>G18+Tabla32037[[#This Row],[Incremento]]</f>
        <v>252419.8228125</v>
      </c>
      <c r="H19" s="2">
        <v>1624</v>
      </c>
      <c r="J19" s="12">
        <v>106</v>
      </c>
      <c r="K19" s="2">
        <f>K18+Tabla32037[[#This Row],[Incremento]]</f>
        <v>252419.8228125</v>
      </c>
      <c r="L19" s="2">
        <v>1624</v>
      </c>
      <c r="N19" s="12">
        <v>106</v>
      </c>
      <c r="O19" s="2">
        <f>O18+Tabla32037[[#This Row],[Incremento]]</f>
        <v>166615.72654999999</v>
      </c>
      <c r="P19" s="2">
        <v>1624</v>
      </c>
      <c r="R19" s="12">
        <v>106</v>
      </c>
      <c r="S19" s="2">
        <f>S18+Tabla32037[[#This Row],[Incremento]]</f>
        <v>70519.3125</v>
      </c>
      <c r="T19" s="2">
        <v>1624</v>
      </c>
      <c r="V19" s="12">
        <v>106</v>
      </c>
      <c r="W19" s="2">
        <f>W18+Tabla32037[[#This Row],[Incremento]]</f>
        <v>598214.61494397931</v>
      </c>
      <c r="X19" s="2">
        <v>1624</v>
      </c>
      <c r="Y19" s="2"/>
      <c r="Z19" s="12">
        <v>106</v>
      </c>
      <c r="AA19" s="2">
        <f>AA18+Tabla32037[[#This Row],[Incremento]]</f>
        <v>127383.06790501633</v>
      </c>
      <c r="AB19" s="2">
        <v>1624</v>
      </c>
      <c r="AC19" s="2"/>
      <c r="AD19" s="12">
        <v>106</v>
      </c>
      <c r="AE19" s="2">
        <f>AE18+Tabla32037[[#This Row],[Incremento]]</f>
        <v>245022.13581003266</v>
      </c>
      <c r="AF19" s="2">
        <v>1624</v>
      </c>
      <c r="AH19" s="12">
        <v>106</v>
      </c>
      <c r="AI19" s="2">
        <f>AI18+Tabla32037[[#This Row],[Incremento]]</f>
        <v>245022.13581003266</v>
      </c>
      <c r="AJ19" s="2">
        <v>1624</v>
      </c>
      <c r="AM19" s="35">
        <v>106</v>
      </c>
      <c r="AN19" s="10">
        <f>AN18+Tabla32037[[#This Row],[Incremento]]</f>
        <v>339133.39013404562</v>
      </c>
      <c r="AO19" s="10">
        <v>1624</v>
      </c>
      <c r="AQ19" s="12">
        <v>106</v>
      </c>
      <c r="AR19" s="2">
        <f>AR18+Tabla32037[[#This Row],[Incremento]]</f>
        <v>233258.22901953099</v>
      </c>
      <c r="AS19" s="2">
        <v>1624</v>
      </c>
      <c r="AU19" s="12">
        <v>106</v>
      </c>
      <c r="AV19" s="2">
        <f>AV18+Tabla32037[[#This Row],[Incremento]]</f>
        <v>424029.60438720003</v>
      </c>
      <c r="AW19" s="2">
        <v>1624</v>
      </c>
      <c r="AX19" s="2"/>
      <c r="AY19" s="12">
        <v>106</v>
      </c>
      <c r="AZ19" s="2">
        <f>AZ18+Tabla32037[[#This Row],[Incremento]]</f>
        <v>1618052.9533449123</v>
      </c>
      <c r="BA19" s="2">
        <v>1624</v>
      </c>
      <c r="BC19" s="12">
        <v>106</v>
      </c>
      <c r="BD19" s="2">
        <f>BD18+Tabla32037[[#This Row],[Incremento]]</f>
        <v>147839.2014624</v>
      </c>
      <c r="BE19" s="2">
        <v>1624</v>
      </c>
    </row>
    <row r="20" spans="3:57" ht="17" customHeight="1" x14ac:dyDescent="0.2">
      <c r="C20" s="2"/>
      <c r="D20" s="2"/>
      <c r="F20" s="12">
        <v>107</v>
      </c>
      <c r="G20" s="2">
        <f>G19+Tabla32037[[#This Row],[Incremento]]</f>
        <v>254043.8228125</v>
      </c>
      <c r="H20" s="2">
        <v>1624</v>
      </c>
      <c r="J20" s="12">
        <v>107</v>
      </c>
      <c r="K20" s="2">
        <f>K19+Tabla32037[[#This Row],[Incremento]]</f>
        <v>254043.8228125</v>
      </c>
      <c r="L20" s="2">
        <v>1624</v>
      </c>
      <c r="N20" s="12">
        <v>107</v>
      </c>
      <c r="O20" s="2">
        <f>O19+Tabla32037[[#This Row],[Incremento]]</f>
        <v>168239.72654999999</v>
      </c>
      <c r="P20" s="2">
        <v>1624</v>
      </c>
      <c r="R20" s="12">
        <v>107</v>
      </c>
      <c r="S20" s="2">
        <f>S19+Tabla32037[[#This Row],[Incremento]]</f>
        <v>72143.3125</v>
      </c>
      <c r="T20" s="2">
        <v>1624</v>
      </c>
      <c r="V20" s="12">
        <v>107</v>
      </c>
      <c r="W20" s="2">
        <f>W19+Tabla32037[[#This Row],[Incremento]]</f>
        <v>599838.61494397931</v>
      </c>
      <c r="X20" s="2">
        <v>1624</v>
      </c>
      <c r="Y20" s="2"/>
      <c r="Z20" s="12">
        <v>107</v>
      </c>
      <c r="AA20" s="2">
        <f>AA19+Tabla32037[[#This Row],[Incremento]]</f>
        <v>129007.06790501633</v>
      </c>
      <c r="AB20" s="2">
        <v>1624</v>
      </c>
      <c r="AC20" s="2"/>
      <c r="AD20" s="12">
        <v>107</v>
      </c>
      <c r="AE20" s="2">
        <f>AE19+Tabla32037[[#This Row],[Incremento]]</f>
        <v>246646.13581003266</v>
      </c>
      <c r="AF20" s="2">
        <v>1624</v>
      </c>
      <c r="AH20" s="12">
        <v>107</v>
      </c>
      <c r="AI20" s="2">
        <f>AI19+Tabla32037[[#This Row],[Incremento]]</f>
        <v>246646.13581003266</v>
      </c>
      <c r="AJ20" s="2">
        <v>1624</v>
      </c>
      <c r="AM20" s="34">
        <v>107</v>
      </c>
      <c r="AN20" s="32">
        <f>AN19+Tabla32037[[#This Row],[Incremento]]</f>
        <v>340757.39013404562</v>
      </c>
      <c r="AO20" s="32">
        <v>1624</v>
      </c>
      <c r="AQ20" s="12">
        <v>107</v>
      </c>
      <c r="AR20" s="2">
        <f>AR19+Tabla32037[[#This Row],[Incremento]]</f>
        <v>234882.22901953099</v>
      </c>
      <c r="AS20" s="2">
        <v>1624</v>
      </c>
      <c r="AU20" s="12">
        <v>107</v>
      </c>
      <c r="AV20" s="2">
        <f>AV19+Tabla32037[[#This Row],[Incremento]]</f>
        <v>425653.60438720003</v>
      </c>
      <c r="AW20" s="2">
        <v>1624</v>
      </c>
      <c r="AX20" s="2"/>
      <c r="AY20" s="12">
        <v>107</v>
      </c>
      <c r="AZ20" s="2">
        <f>AZ19+Tabla32037[[#This Row],[Incremento]]</f>
        <v>1619676.9533449123</v>
      </c>
      <c r="BA20" s="2">
        <v>1624</v>
      </c>
      <c r="BC20" s="12">
        <v>107</v>
      </c>
      <c r="BD20" s="2">
        <f>BD19+Tabla32037[[#This Row],[Incremento]]</f>
        <v>149463.2014624</v>
      </c>
      <c r="BE20" s="2">
        <v>1624</v>
      </c>
    </row>
    <row r="21" spans="3:57" ht="17" customHeight="1" x14ac:dyDescent="0.2">
      <c r="C21" s="2"/>
      <c r="D21" s="2"/>
      <c r="F21" s="12">
        <v>108</v>
      </c>
      <c r="G21" s="2">
        <f>G20+Tabla32037[[#This Row],[Incremento]]</f>
        <v>255667.8228125</v>
      </c>
      <c r="H21" s="2">
        <v>1624</v>
      </c>
      <c r="J21" s="12">
        <v>108</v>
      </c>
      <c r="K21" s="2">
        <f>K20+Tabla32037[[#This Row],[Incremento]]</f>
        <v>255667.8228125</v>
      </c>
      <c r="L21" s="2">
        <v>1624</v>
      </c>
      <c r="N21" s="12">
        <v>108</v>
      </c>
      <c r="O21" s="2">
        <f>O20+Tabla32037[[#This Row],[Incremento]]</f>
        <v>169863.72654999999</v>
      </c>
      <c r="P21" s="2">
        <v>1624</v>
      </c>
      <c r="R21" s="12">
        <v>108</v>
      </c>
      <c r="S21" s="2">
        <f>S20+Tabla32037[[#This Row],[Incremento]]</f>
        <v>73767.3125</v>
      </c>
      <c r="T21" s="2">
        <v>1624</v>
      </c>
      <c r="V21" s="12">
        <v>108</v>
      </c>
      <c r="W21" s="2">
        <f>W20+Tabla32037[[#This Row],[Incremento]]</f>
        <v>601462.61494397931</v>
      </c>
      <c r="X21" s="2">
        <v>1624</v>
      </c>
      <c r="Y21" s="2"/>
      <c r="Z21" s="12">
        <v>108</v>
      </c>
      <c r="AA21" s="2">
        <f>AA20+Tabla32037[[#This Row],[Incremento]]</f>
        <v>130631.06790501633</v>
      </c>
      <c r="AB21" s="2">
        <v>1624</v>
      </c>
      <c r="AC21" s="2"/>
      <c r="AD21" s="12">
        <v>108</v>
      </c>
      <c r="AE21" s="2">
        <f>AE20+Tabla32037[[#This Row],[Incremento]]</f>
        <v>248270.13581003266</v>
      </c>
      <c r="AF21" s="2">
        <v>1624</v>
      </c>
      <c r="AH21" s="12">
        <v>108</v>
      </c>
      <c r="AI21" s="2">
        <f>AI20+Tabla32037[[#This Row],[Incremento]]</f>
        <v>248270.13581003266</v>
      </c>
      <c r="AJ21" s="2">
        <v>1624</v>
      </c>
      <c r="AM21" s="35">
        <v>108</v>
      </c>
      <c r="AN21" s="10">
        <f>AN20+Tabla32037[[#This Row],[Incremento]]</f>
        <v>342381.39013404562</v>
      </c>
      <c r="AO21" s="10">
        <v>1624</v>
      </c>
      <c r="AQ21" s="12">
        <v>108</v>
      </c>
      <c r="AR21" s="2">
        <f>AR20+Tabla32037[[#This Row],[Incremento]]</f>
        <v>236506.22901953099</v>
      </c>
      <c r="AS21" s="2">
        <v>1624</v>
      </c>
      <c r="AU21" s="12">
        <v>108</v>
      </c>
      <c r="AV21" s="2">
        <f>AV20+Tabla32037[[#This Row],[Incremento]]</f>
        <v>427277.60438720003</v>
      </c>
      <c r="AW21" s="2">
        <v>1624</v>
      </c>
      <c r="AX21" s="2"/>
      <c r="AY21" s="12">
        <v>108</v>
      </c>
      <c r="AZ21" s="2">
        <f>AZ20+Tabla32037[[#This Row],[Incremento]]</f>
        <v>1621300.9533449123</v>
      </c>
      <c r="BA21" s="2">
        <v>1624</v>
      </c>
      <c r="BC21" s="12">
        <v>108</v>
      </c>
      <c r="BD21" s="2">
        <f>BD20+Tabla32037[[#This Row],[Incremento]]</f>
        <v>151087.2014624</v>
      </c>
      <c r="BE21" s="2">
        <v>1624</v>
      </c>
    </row>
    <row r="22" spans="3:57" ht="17" customHeight="1" x14ac:dyDescent="0.2">
      <c r="C22" s="2"/>
      <c r="D22" s="2"/>
      <c r="F22" s="12">
        <v>109</v>
      </c>
      <c r="G22" s="2">
        <f>G21+Tabla32037[[#This Row],[Incremento]]</f>
        <v>257291.8228125</v>
      </c>
      <c r="H22" s="2">
        <v>1624</v>
      </c>
      <c r="J22" s="12">
        <v>109</v>
      </c>
      <c r="K22" s="2">
        <f>K21+Tabla32037[[#This Row],[Incremento]]</f>
        <v>257291.8228125</v>
      </c>
      <c r="L22" s="2">
        <v>1624</v>
      </c>
      <c r="N22" s="12">
        <v>109</v>
      </c>
      <c r="O22" s="2">
        <f>O21+Tabla32037[[#This Row],[Incremento]]</f>
        <v>171487.72654999999</v>
      </c>
      <c r="P22" s="2">
        <v>1624</v>
      </c>
      <c r="R22" s="12">
        <v>109</v>
      </c>
      <c r="S22" s="2">
        <f>S21+Tabla32037[[#This Row],[Incremento]]</f>
        <v>75391.3125</v>
      </c>
      <c r="T22" s="2">
        <v>1624</v>
      </c>
      <c r="V22" s="12">
        <v>109</v>
      </c>
      <c r="W22" s="2">
        <f>W21+Tabla32037[[#This Row],[Incremento]]</f>
        <v>603086.61494397931</v>
      </c>
      <c r="X22" s="2">
        <v>1624</v>
      </c>
      <c r="Y22" s="2"/>
      <c r="Z22" s="12">
        <v>109</v>
      </c>
      <c r="AA22" s="2">
        <f>AA21+Tabla32037[[#This Row],[Incremento]]</f>
        <v>132255.06790501633</v>
      </c>
      <c r="AB22" s="2">
        <v>1624</v>
      </c>
      <c r="AC22" s="2"/>
      <c r="AD22" s="12">
        <v>109</v>
      </c>
      <c r="AE22" s="2">
        <f>AE21+Tabla32037[[#This Row],[Incremento]]</f>
        <v>249894.13581003266</v>
      </c>
      <c r="AF22" s="2">
        <v>1624</v>
      </c>
      <c r="AH22" s="12">
        <v>109</v>
      </c>
      <c r="AI22" s="2">
        <f>AI21+Tabla32037[[#This Row],[Incremento]]</f>
        <v>249894.13581003266</v>
      </c>
      <c r="AJ22" s="2">
        <v>1624</v>
      </c>
      <c r="AM22" s="34">
        <v>109</v>
      </c>
      <c r="AN22" s="32">
        <f>AN21+Tabla32037[[#This Row],[Incremento]]</f>
        <v>344005.39013404562</v>
      </c>
      <c r="AO22" s="32">
        <v>1624</v>
      </c>
      <c r="AQ22" s="12">
        <v>109</v>
      </c>
      <c r="AR22" s="2">
        <f>AR21+Tabla32037[[#This Row],[Incremento]]</f>
        <v>238130.22901953099</v>
      </c>
      <c r="AS22" s="2">
        <v>1624</v>
      </c>
      <c r="AU22" s="12">
        <v>109</v>
      </c>
      <c r="AV22" s="2">
        <f>AV21+Tabla32037[[#This Row],[Incremento]]</f>
        <v>428901.60438720003</v>
      </c>
      <c r="AW22" s="2">
        <v>1624</v>
      </c>
      <c r="AX22" s="2"/>
      <c r="AY22" s="12">
        <v>109</v>
      </c>
      <c r="AZ22" s="2">
        <f>AZ21+Tabla32037[[#This Row],[Incremento]]</f>
        <v>1622924.9533449123</v>
      </c>
      <c r="BA22" s="2">
        <v>1624</v>
      </c>
      <c r="BC22" s="12">
        <v>109</v>
      </c>
      <c r="BD22" s="2">
        <f>BD21+Tabla32037[[#This Row],[Incremento]]</f>
        <v>152711.2014624</v>
      </c>
      <c r="BE22" s="2">
        <v>1624</v>
      </c>
    </row>
    <row r="23" spans="3:57" ht="17" customHeight="1" x14ac:dyDescent="0.2">
      <c r="C23" s="2"/>
      <c r="D23" s="2"/>
      <c r="F23" s="12">
        <v>110</v>
      </c>
      <c r="G23" s="2">
        <f>G22+Tabla32037[[#This Row],[Incremento]]</f>
        <v>258915.8228125</v>
      </c>
      <c r="H23" s="2">
        <v>1624</v>
      </c>
      <c r="J23" s="12">
        <v>110</v>
      </c>
      <c r="K23" s="2">
        <f>K22+Tabla32037[[#This Row],[Incremento]]</f>
        <v>258915.8228125</v>
      </c>
      <c r="L23" s="2">
        <v>1624</v>
      </c>
      <c r="N23" s="12">
        <v>110</v>
      </c>
      <c r="O23" s="2">
        <f>O22+Tabla32037[[#This Row],[Incremento]]</f>
        <v>173111.72654999999</v>
      </c>
      <c r="P23" s="2">
        <v>1624</v>
      </c>
      <c r="R23" s="12">
        <v>110</v>
      </c>
      <c r="S23" s="2">
        <f>S22+Tabla32037[[#This Row],[Incremento]]</f>
        <v>77015.3125</v>
      </c>
      <c r="T23" s="2">
        <v>1624</v>
      </c>
      <c r="V23" s="12">
        <v>110</v>
      </c>
      <c r="W23" s="2">
        <f>W22+Tabla32037[[#This Row],[Incremento]]</f>
        <v>604710.61494397931</v>
      </c>
      <c r="X23" s="2">
        <v>1624</v>
      </c>
      <c r="Y23" s="2"/>
      <c r="Z23" s="12">
        <v>110</v>
      </c>
      <c r="AA23" s="2">
        <f>AA22+Tabla32037[[#This Row],[Incremento]]</f>
        <v>133879.06790501633</v>
      </c>
      <c r="AB23" s="2">
        <v>1624</v>
      </c>
      <c r="AC23" s="2"/>
      <c r="AD23" s="12">
        <v>110</v>
      </c>
      <c r="AE23" s="2">
        <f>AE22+Tabla32037[[#This Row],[Incremento]]</f>
        <v>251518.13581003266</v>
      </c>
      <c r="AF23" s="2">
        <v>1624</v>
      </c>
      <c r="AH23" s="12">
        <v>110</v>
      </c>
      <c r="AI23" s="2">
        <f>AI22+Tabla32037[[#This Row],[Incremento]]</f>
        <v>251518.13581003266</v>
      </c>
      <c r="AJ23" s="2">
        <v>1624</v>
      </c>
      <c r="AM23" s="35">
        <v>110</v>
      </c>
      <c r="AN23" s="10">
        <f>AN22+Tabla32037[[#This Row],[Incremento]]</f>
        <v>345629.39013404562</v>
      </c>
      <c r="AO23" s="10">
        <v>1624</v>
      </c>
      <c r="AQ23" s="12">
        <v>110</v>
      </c>
      <c r="AR23" s="2">
        <f>AR22+Tabla32037[[#This Row],[Incremento]]</f>
        <v>239754.22901953099</v>
      </c>
      <c r="AS23" s="2">
        <v>1624</v>
      </c>
      <c r="AU23" s="12">
        <v>110</v>
      </c>
      <c r="AV23" s="2">
        <f>AV22+Tabla32037[[#This Row],[Incremento]]</f>
        <v>430525.60438720003</v>
      </c>
      <c r="AW23" s="2">
        <v>1624</v>
      </c>
      <c r="AX23" s="2"/>
      <c r="AY23" s="12">
        <v>110</v>
      </c>
      <c r="AZ23" s="2">
        <f>AZ22+Tabla32037[[#This Row],[Incremento]]</f>
        <v>1624548.9533449123</v>
      </c>
      <c r="BA23" s="2">
        <v>1624</v>
      </c>
      <c r="BC23" s="12">
        <v>110</v>
      </c>
      <c r="BD23" s="2">
        <f>BD22+Tabla32037[[#This Row],[Incremento]]</f>
        <v>154335.2014624</v>
      </c>
      <c r="BE23" s="2">
        <v>1624</v>
      </c>
    </row>
    <row r="24" spans="3:57" ht="17" customHeight="1" x14ac:dyDescent="0.2">
      <c r="C24" s="2"/>
      <c r="D24" s="2"/>
      <c r="F24" s="12">
        <v>111</v>
      </c>
      <c r="G24" s="2">
        <f>G23+Tabla32037[[#This Row],[Incremento]]</f>
        <v>260539.8228125</v>
      </c>
      <c r="H24" s="2">
        <v>1624</v>
      </c>
      <c r="J24" s="12">
        <v>111</v>
      </c>
      <c r="K24" s="2">
        <f>K23+Tabla32037[[#This Row],[Incremento]]</f>
        <v>260539.8228125</v>
      </c>
      <c r="L24" s="2">
        <v>1624</v>
      </c>
      <c r="N24" s="12">
        <v>111</v>
      </c>
      <c r="O24" s="2">
        <f>O23+Tabla32037[[#This Row],[Incremento]]</f>
        <v>174735.72654999999</v>
      </c>
      <c r="P24" s="2">
        <v>1624</v>
      </c>
      <c r="R24" s="12">
        <v>111</v>
      </c>
      <c r="S24" s="2">
        <f>S23+Tabla32037[[#This Row],[Incremento]]</f>
        <v>78639.3125</v>
      </c>
      <c r="T24" s="2">
        <v>1624</v>
      </c>
      <c r="V24" s="12">
        <v>111</v>
      </c>
      <c r="W24" s="2">
        <f>W23+Tabla32037[[#This Row],[Incremento]]</f>
        <v>606334.61494397931</v>
      </c>
      <c r="X24" s="2">
        <v>1624</v>
      </c>
      <c r="Y24" s="2"/>
      <c r="Z24" s="12">
        <v>111</v>
      </c>
      <c r="AA24" s="2">
        <f>AA23+Tabla32037[[#This Row],[Incremento]]</f>
        <v>135503.06790501633</v>
      </c>
      <c r="AB24" s="2">
        <v>1624</v>
      </c>
      <c r="AC24" s="2"/>
      <c r="AD24" s="12">
        <v>111</v>
      </c>
      <c r="AE24" s="2">
        <f>AE23+Tabla32037[[#This Row],[Incremento]]</f>
        <v>253142.13581003266</v>
      </c>
      <c r="AF24" s="2">
        <v>1624</v>
      </c>
      <c r="AH24" s="12">
        <v>111</v>
      </c>
      <c r="AI24" s="2">
        <f>AI23+Tabla32037[[#This Row],[Incremento]]</f>
        <v>253142.13581003266</v>
      </c>
      <c r="AJ24" s="2">
        <v>1624</v>
      </c>
      <c r="AM24" s="34">
        <v>111</v>
      </c>
      <c r="AN24" s="32">
        <f>AN23+Tabla32037[[#This Row],[Incremento]]</f>
        <v>347253.39013404562</v>
      </c>
      <c r="AO24" s="32">
        <v>1624</v>
      </c>
      <c r="AQ24" s="12">
        <v>111</v>
      </c>
      <c r="AR24" s="2">
        <f>AR23+Tabla32037[[#This Row],[Incremento]]</f>
        <v>241378.22901953099</v>
      </c>
      <c r="AS24" s="2">
        <v>1624</v>
      </c>
      <c r="AU24" s="12">
        <v>111</v>
      </c>
      <c r="AV24" s="2">
        <f>AV23+Tabla32037[[#This Row],[Incremento]]</f>
        <v>432149.60438720003</v>
      </c>
      <c r="AW24" s="2">
        <v>1624</v>
      </c>
      <c r="AX24" s="2"/>
      <c r="AY24" s="12">
        <v>111</v>
      </c>
      <c r="AZ24" s="2">
        <f>AZ23+Tabla32037[[#This Row],[Incremento]]</f>
        <v>1626172.9533449123</v>
      </c>
      <c r="BA24" s="2">
        <v>1624</v>
      </c>
      <c r="BC24" s="12">
        <v>111</v>
      </c>
      <c r="BD24" s="2">
        <f>BD23+Tabla32037[[#This Row],[Incremento]]</f>
        <v>155959.2014624</v>
      </c>
      <c r="BE24" s="2">
        <v>1624</v>
      </c>
    </row>
    <row r="25" spans="3:57" ht="17" customHeight="1" x14ac:dyDescent="0.2">
      <c r="C25" s="2"/>
      <c r="D25" s="2"/>
      <c r="F25" s="12">
        <v>112</v>
      </c>
      <c r="G25" s="2">
        <f>G24+Tabla32037[[#This Row],[Incremento]]</f>
        <v>262163.8228125</v>
      </c>
      <c r="H25" s="2">
        <v>1624</v>
      </c>
      <c r="J25" s="12">
        <v>112</v>
      </c>
      <c r="K25" s="2">
        <f>K24+Tabla32037[[#This Row],[Incremento]]</f>
        <v>262163.8228125</v>
      </c>
      <c r="L25" s="2">
        <v>1624</v>
      </c>
      <c r="N25" s="12">
        <v>112</v>
      </c>
      <c r="O25" s="2">
        <f>O24+Tabla32037[[#This Row],[Incremento]]</f>
        <v>176359.72654999999</v>
      </c>
      <c r="P25" s="2">
        <v>1624</v>
      </c>
      <c r="R25" s="12">
        <v>112</v>
      </c>
      <c r="S25" s="2">
        <f>S24+Tabla32037[[#This Row],[Incremento]]</f>
        <v>80263.3125</v>
      </c>
      <c r="T25" s="2">
        <v>1624</v>
      </c>
      <c r="V25" s="12">
        <v>112</v>
      </c>
      <c r="W25" s="2">
        <f>W24+Tabla32037[[#This Row],[Incremento]]</f>
        <v>607958.61494397931</v>
      </c>
      <c r="X25" s="2">
        <v>1624</v>
      </c>
      <c r="Y25" s="2"/>
      <c r="Z25" s="12">
        <v>112</v>
      </c>
      <c r="AA25" s="2">
        <f>AA24+Tabla32037[[#This Row],[Incremento]]</f>
        <v>137127.06790501633</v>
      </c>
      <c r="AB25" s="2">
        <v>1624</v>
      </c>
      <c r="AC25" s="2"/>
      <c r="AD25" s="12">
        <v>112</v>
      </c>
      <c r="AE25" s="2">
        <f>AE24+Tabla32037[[#This Row],[Incremento]]</f>
        <v>254766.13581003266</v>
      </c>
      <c r="AF25" s="2">
        <v>1624</v>
      </c>
      <c r="AH25" s="12">
        <v>112</v>
      </c>
      <c r="AI25" s="2">
        <f>AI24+Tabla32037[[#This Row],[Incremento]]</f>
        <v>254766.13581003266</v>
      </c>
      <c r="AJ25" s="2">
        <v>1624</v>
      </c>
      <c r="AM25" s="35">
        <v>112</v>
      </c>
      <c r="AN25" s="10">
        <f>AN24+Tabla32037[[#This Row],[Incremento]]</f>
        <v>348877.39013404562</v>
      </c>
      <c r="AO25" s="10">
        <v>1624</v>
      </c>
      <c r="AQ25" s="12">
        <v>112</v>
      </c>
      <c r="AR25" s="2">
        <f>AR24+Tabla32037[[#This Row],[Incremento]]</f>
        <v>243002.22901953099</v>
      </c>
      <c r="AS25" s="2">
        <v>1624</v>
      </c>
      <c r="AU25" s="12">
        <v>112</v>
      </c>
      <c r="AV25" s="2">
        <f>AV24+Tabla32037[[#This Row],[Incremento]]</f>
        <v>433773.60438720003</v>
      </c>
      <c r="AW25" s="2">
        <v>1624</v>
      </c>
      <c r="AX25" s="2"/>
      <c r="AY25" s="12">
        <v>112</v>
      </c>
      <c r="AZ25" s="2">
        <f>AZ24+Tabla32037[[#This Row],[Incremento]]</f>
        <v>1627796.9533449123</v>
      </c>
      <c r="BA25" s="2">
        <v>1624</v>
      </c>
      <c r="BC25" s="12">
        <v>112</v>
      </c>
      <c r="BD25" s="2">
        <f>BD24+Tabla32037[[#This Row],[Incremento]]</f>
        <v>157583.2014624</v>
      </c>
      <c r="BE25" s="2">
        <v>1624</v>
      </c>
    </row>
    <row r="26" spans="3:57" ht="17" customHeight="1" x14ac:dyDescent="0.2">
      <c r="C26" s="2"/>
      <c r="D26" s="2"/>
      <c r="F26" s="12">
        <v>113</v>
      </c>
      <c r="G26" s="2">
        <f>G25+Tabla32037[[#This Row],[Incremento]]</f>
        <v>263787.8228125</v>
      </c>
      <c r="H26" s="2">
        <v>1624</v>
      </c>
      <c r="J26" s="12">
        <v>113</v>
      </c>
      <c r="K26" s="2">
        <f>K25+Tabla32037[[#This Row],[Incremento]]</f>
        <v>263787.8228125</v>
      </c>
      <c r="L26" s="2">
        <v>1624</v>
      </c>
      <c r="N26" s="12">
        <v>113</v>
      </c>
      <c r="O26" s="2">
        <f>O25+Tabla32037[[#This Row],[Incremento]]</f>
        <v>177983.72654999999</v>
      </c>
      <c r="P26" s="2">
        <v>1624</v>
      </c>
      <c r="R26" s="12">
        <v>113</v>
      </c>
      <c r="S26" s="2">
        <f>S25+Tabla32037[[#This Row],[Incremento]]</f>
        <v>81887.3125</v>
      </c>
      <c r="T26" s="2">
        <v>1624</v>
      </c>
      <c r="V26" s="12">
        <v>113</v>
      </c>
      <c r="W26" s="2">
        <f>W25+Tabla32037[[#This Row],[Incremento]]</f>
        <v>609582.61494397931</v>
      </c>
      <c r="X26" s="2">
        <v>1624</v>
      </c>
      <c r="Y26" s="2"/>
      <c r="Z26" s="12">
        <v>113</v>
      </c>
      <c r="AA26" s="2">
        <f>AA25+Tabla32037[[#This Row],[Incremento]]</f>
        <v>138751.06790501633</v>
      </c>
      <c r="AB26" s="2">
        <v>1624</v>
      </c>
      <c r="AC26" s="2"/>
      <c r="AD26" s="12">
        <v>113</v>
      </c>
      <c r="AE26" s="2">
        <f>AE25+Tabla32037[[#This Row],[Incremento]]</f>
        <v>256390.13581003266</v>
      </c>
      <c r="AF26" s="2">
        <v>1624</v>
      </c>
      <c r="AH26" s="12">
        <v>113</v>
      </c>
      <c r="AI26" s="2">
        <f>AI25+Tabla32037[[#This Row],[Incremento]]</f>
        <v>256390.13581003266</v>
      </c>
      <c r="AJ26" s="2">
        <v>1624</v>
      </c>
      <c r="AM26" s="34">
        <v>113</v>
      </c>
      <c r="AN26" s="32">
        <f>AN25+Tabla32037[[#This Row],[Incremento]]</f>
        <v>350501.39013404562</v>
      </c>
      <c r="AO26" s="32">
        <v>1624</v>
      </c>
      <c r="AQ26" s="12">
        <v>113</v>
      </c>
      <c r="AR26" s="2">
        <f>AR25+Tabla32037[[#This Row],[Incremento]]</f>
        <v>244626.22901953099</v>
      </c>
      <c r="AS26" s="2">
        <v>1624</v>
      </c>
      <c r="AU26" s="12">
        <v>113</v>
      </c>
      <c r="AV26" s="2">
        <f>AV25+Tabla32037[[#This Row],[Incremento]]</f>
        <v>435397.60438720003</v>
      </c>
      <c r="AW26" s="2">
        <v>1624</v>
      </c>
      <c r="AX26" s="2"/>
      <c r="AY26" s="12">
        <v>113</v>
      </c>
      <c r="AZ26" s="2">
        <f>AZ25+Tabla32037[[#This Row],[Incremento]]</f>
        <v>1629420.9533449123</v>
      </c>
      <c r="BA26" s="2">
        <v>1624</v>
      </c>
      <c r="BC26" s="12">
        <v>113</v>
      </c>
      <c r="BD26" s="2">
        <f>BD25+Tabla32037[[#This Row],[Incremento]]</f>
        <v>159207.2014624</v>
      </c>
      <c r="BE26" s="2">
        <v>1624</v>
      </c>
    </row>
    <row r="27" spans="3:57" ht="17" customHeight="1" x14ac:dyDescent="0.2">
      <c r="C27" s="2"/>
      <c r="D27" s="2"/>
      <c r="F27" s="12">
        <v>114</v>
      </c>
      <c r="G27" s="2">
        <f>G26+Tabla32037[[#This Row],[Incremento]]</f>
        <v>265411.8228125</v>
      </c>
      <c r="H27" s="2">
        <v>1624</v>
      </c>
      <c r="J27" s="12">
        <v>114</v>
      </c>
      <c r="K27" s="2">
        <f>K26+Tabla32037[[#This Row],[Incremento]]</f>
        <v>265411.8228125</v>
      </c>
      <c r="L27" s="2">
        <v>1624</v>
      </c>
      <c r="N27" s="12">
        <v>114</v>
      </c>
      <c r="O27" s="2">
        <f>O26+Tabla32037[[#This Row],[Incremento]]</f>
        <v>179607.72654999999</v>
      </c>
      <c r="P27" s="2">
        <v>1624</v>
      </c>
      <c r="R27" s="12">
        <v>114</v>
      </c>
      <c r="S27" s="2">
        <f>S26+Tabla32037[[#This Row],[Incremento]]</f>
        <v>83511.3125</v>
      </c>
      <c r="T27" s="2">
        <v>1624</v>
      </c>
      <c r="V27" s="12">
        <v>114</v>
      </c>
      <c r="W27" s="2">
        <f>W26+Tabla32037[[#This Row],[Incremento]]</f>
        <v>611206.61494397931</v>
      </c>
      <c r="X27" s="2">
        <v>1624</v>
      </c>
      <c r="Y27" s="2"/>
      <c r="Z27" s="12">
        <v>114</v>
      </c>
      <c r="AA27" s="2">
        <f>AA26+Tabla32037[[#This Row],[Incremento]]</f>
        <v>140375.06790501633</v>
      </c>
      <c r="AB27" s="2">
        <v>1624</v>
      </c>
      <c r="AC27" s="2"/>
      <c r="AD27" s="12">
        <v>114</v>
      </c>
      <c r="AE27" s="2">
        <f>AE26+Tabla32037[[#This Row],[Incremento]]</f>
        <v>258014.13581003266</v>
      </c>
      <c r="AF27" s="2">
        <v>1624</v>
      </c>
      <c r="AH27" s="12">
        <v>114</v>
      </c>
      <c r="AI27" s="2">
        <f>AI26+Tabla32037[[#This Row],[Incremento]]</f>
        <v>258014.13581003266</v>
      </c>
      <c r="AJ27" s="2">
        <v>1624</v>
      </c>
      <c r="AM27" s="35">
        <v>114</v>
      </c>
      <c r="AN27" s="10">
        <f>AN26+Tabla32037[[#This Row],[Incremento]]</f>
        <v>352125.39013404562</v>
      </c>
      <c r="AO27" s="10">
        <v>1624</v>
      </c>
      <c r="AQ27" s="12">
        <v>114</v>
      </c>
      <c r="AR27" s="2">
        <f>AR26+Tabla32037[[#This Row],[Incremento]]</f>
        <v>246250.22901953099</v>
      </c>
      <c r="AS27" s="2">
        <v>1624</v>
      </c>
      <c r="AU27" s="12">
        <v>114</v>
      </c>
      <c r="AV27" s="2">
        <f>AV26+Tabla32037[[#This Row],[Incremento]]</f>
        <v>437021.60438720003</v>
      </c>
      <c r="AW27" s="2">
        <v>1624</v>
      </c>
      <c r="AX27" s="2"/>
      <c r="AY27" s="12">
        <v>114</v>
      </c>
      <c r="AZ27" s="2">
        <f>AZ26+Tabla32037[[#This Row],[Incremento]]</f>
        <v>1631044.9533449123</v>
      </c>
      <c r="BA27" s="2">
        <v>1624</v>
      </c>
      <c r="BC27" s="12">
        <v>114</v>
      </c>
      <c r="BD27" s="2">
        <f>BD26+Tabla32037[[#This Row],[Incremento]]</f>
        <v>160831.2014624</v>
      </c>
      <c r="BE27" s="2">
        <v>1624</v>
      </c>
    </row>
    <row r="28" spans="3:57" ht="17" customHeight="1" x14ac:dyDescent="0.2">
      <c r="C28" s="2"/>
      <c r="D28" s="2"/>
      <c r="F28" s="12">
        <v>115</v>
      </c>
      <c r="G28" s="2">
        <f>G27+Tabla32037[[#This Row],[Incremento]]</f>
        <v>267035.8228125</v>
      </c>
      <c r="H28" s="2">
        <v>1624</v>
      </c>
      <c r="J28" s="12">
        <v>115</v>
      </c>
      <c r="K28" s="2">
        <f>K27+Tabla32037[[#This Row],[Incremento]]</f>
        <v>267035.8228125</v>
      </c>
      <c r="L28" s="2">
        <v>1624</v>
      </c>
      <c r="N28" s="12">
        <v>115</v>
      </c>
      <c r="O28" s="2">
        <f>O27+Tabla32037[[#This Row],[Incremento]]</f>
        <v>181231.72654999999</v>
      </c>
      <c r="P28" s="2">
        <v>1624</v>
      </c>
      <c r="R28" s="12">
        <v>115</v>
      </c>
      <c r="S28" s="2">
        <f>S27+Tabla32037[[#This Row],[Incremento]]</f>
        <v>85135.3125</v>
      </c>
      <c r="T28" s="2">
        <v>1624</v>
      </c>
      <c r="V28" s="12">
        <v>115</v>
      </c>
      <c r="W28" s="2">
        <f>W27+Tabla32037[[#This Row],[Incremento]]</f>
        <v>612830.61494397931</v>
      </c>
      <c r="X28" s="2">
        <v>1624</v>
      </c>
      <c r="Y28" s="2"/>
      <c r="Z28" s="12">
        <v>115</v>
      </c>
      <c r="AA28" s="2">
        <f>AA27+Tabla32037[[#This Row],[Incremento]]</f>
        <v>141999.06790501633</v>
      </c>
      <c r="AB28" s="2">
        <v>1624</v>
      </c>
      <c r="AC28" s="2"/>
      <c r="AD28" s="12">
        <v>115</v>
      </c>
      <c r="AE28" s="2">
        <f>AE27+Tabla32037[[#This Row],[Incremento]]</f>
        <v>259638.13581003266</v>
      </c>
      <c r="AF28" s="2">
        <v>1624</v>
      </c>
      <c r="AH28" s="12">
        <v>115</v>
      </c>
      <c r="AI28" s="2">
        <f>AI27+Tabla32037[[#This Row],[Incremento]]</f>
        <v>259638.13581003266</v>
      </c>
      <c r="AJ28" s="2">
        <v>1624</v>
      </c>
      <c r="AM28" s="34">
        <v>115</v>
      </c>
      <c r="AN28" s="32">
        <f>AN27+Tabla32037[[#This Row],[Incremento]]</f>
        <v>353749.39013404562</v>
      </c>
      <c r="AO28" s="32">
        <v>1624</v>
      </c>
      <c r="AQ28" s="12">
        <v>115</v>
      </c>
      <c r="AR28" s="2">
        <f>AR27+Tabla32037[[#This Row],[Incremento]]</f>
        <v>247874.22901953099</v>
      </c>
      <c r="AS28" s="2">
        <v>1624</v>
      </c>
      <c r="AU28" s="12">
        <v>115</v>
      </c>
      <c r="AV28" s="2">
        <f>AV27+Tabla32037[[#This Row],[Incremento]]</f>
        <v>438645.60438720003</v>
      </c>
      <c r="AW28" s="2">
        <v>1624</v>
      </c>
      <c r="AX28" s="2"/>
      <c r="AY28" s="12">
        <v>115</v>
      </c>
      <c r="AZ28" s="2">
        <f>AZ27+Tabla32037[[#This Row],[Incremento]]</f>
        <v>1632668.9533449123</v>
      </c>
      <c r="BA28" s="2">
        <v>1624</v>
      </c>
      <c r="BC28" s="12">
        <v>115</v>
      </c>
      <c r="BD28" s="2">
        <f>BD27+Tabla32037[[#This Row],[Incremento]]</f>
        <v>162455.2014624</v>
      </c>
      <c r="BE28" s="2">
        <v>1624</v>
      </c>
    </row>
    <row r="29" spans="3:57" ht="17" customHeight="1" x14ac:dyDescent="0.2">
      <c r="C29" s="2"/>
      <c r="D29" s="2"/>
      <c r="F29" s="12">
        <v>116</v>
      </c>
      <c r="G29" s="2">
        <f>G28+Tabla32037[[#This Row],[Incremento]]</f>
        <v>268659.8228125</v>
      </c>
      <c r="H29" s="2">
        <v>1624</v>
      </c>
      <c r="J29" s="12">
        <v>116</v>
      </c>
      <c r="K29" s="2">
        <f>K28+Tabla32037[[#This Row],[Incremento]]</f>
        <v>268659.8228125</v>
      </c>
      <c r="L29" s="2">
        <v>1624</v>
      </c>
      <c r="N29" s="12">
        <v>116</v>
      </c>
      <c r="O29" s="2">
        <f>O28+Tabla32037[[#This Row],[Incremento]]</f>
        <v>182855.72654999999</v>
      </c>
      <c r="P29" s="2">
        <v>1624</v>
      </c>
      <c r="R29" s="12">
        <v>116</v>
      </c>
      <c r="S29" s="2">
        <f>S28+Tabla32037[[#This Row],[Incremento]]</f>
        <v>86759.3125</v>
      </c>
      <c r="T29" s="2">
        <v>1624</v>
      </c>
      <c r="V29" s="12">
        <v>116</v>
      </c>
      <c r="W29" s="2">
        <f>W28+Tabla32037[[#This Row],[Incremento]]</f>
        <v>614454.61494397931</v>
      </c>
      <c r="X29" s="2">
        <v>1624</v>
      </c>
      <c r="Y29" s="2"/>
      <c r="Z29" s="12">
        <v>116</v>
      </c>
      <c r="AA29" s="2">
        <f>AA28+Tabla32037[[#This Row],[Incremento]]</f>
        <v>143623.06790501633</v>
      </c>
      <c r="AB29" s="2">
        <v>1624</v>
      </c>
      <c r="AC29" s="2"/>
      <c r="AD29" s="12">
        <v>116</v>
      </c>
      <c r="AE29" s="2">
        <f>AE28+Tabla32037[[#This Row],[Incremento]]</f>
        <v>261262.13581003266</v>
      </c>
      <c r="AF29" s="2">
        <v>1624</v>
      </c>
      <c r="AH29" s="12">
        <v>116</v>
      </c>
      <c r="AI29" s="2">
        <f>AI28+Tabla32037[[#This Row],[Incremento]]</f>
        <v>261262.13581003266</v>
      </c>
      <c r="AJ29" s="2">
        <v>1624</v>
      </c>
      <c r="AM29" s="35">
        <v>116</v>
      </c>
      <c r="AN29" s="10">
        <f>AN28+Tabla32037[[#This Row],[Incremento]]</f>
        <v>355373.39013404562</v>
      </c>
      <c r="AO29" s="10">
        <v>1624</v>
      </c>
      <c r="AQ29" s="12">
        <v>116</v>
      </c>
      <c r="AR29" s="2">
        <f>AR28+Tabla32037[[#This Row],[Incremento]]</f>
        <v>249498.22901953099</v>
      </c>
      <c r="AS29" s="2">
        <v>1624</v>
      </c>
      <c r="AU29" s="12">
        <v>116</v>
      </c>
      <c r="AV29" s="2">
        <f>AV28+Tabla32037[[#This Row],[Incremento]]</f>
        <v>440269.60438720003</v>
      </c>
      <c r="AW29" s="2">
        <v>1624</v>
      </c>
      <c r="AX29" s="2"/>
      <c r="AY29" s="12">
        <v>116</v>
      </c>
      <c r="AZ29" s="2">
        <f>AZ28+Tabla32037[[#This Row],[Incremento]]</f>
        <v>1634292.9533449123</v>
      </c>
      <c r="BA29" s="2">
        <v>1624</v>
      </c>
      <c r="BC29" s="12">
        <v>116</v>
      </c>
      <c r="BD29" s="2">
        <f>BD28+Tabla32037[[#This Row],[Incremento]]</f>
        <v>164079.2014624</v>
      </c>
      <c r="BE29" s="2">
        <v>1624</v>
      </c>
    </row>
    <row r="30" spans="3:57" ht="17" customHeight="1" x14ac:dyDescent="0.2">
      <c r="C30" s="2"/>
      <c r="D30" s="2"/>
      <c r="F30" s="12">
        <v>117</v>
      </c>
      <c r="G30" s="2">
        <f>G29+Tabla32037[[#This Row],[Incremento]]</f>
        <v>270283.8228125</v>
      </c>
      <c r="H30" s="2">
        <v>1624</v>
      </c>
      <c r="J30" s="12">
        <v>117</v>
      </c>
      <c r="K30" s="2">
        <f>K29+Tabla32037[[#This Row],[Incremento]]</f>
        <v>270283.8228125</v>
      </c>
      <c r="L30" s="2">
        <v>1624</v>
      </c>
      <c r="N30" s="12">
        <v>117</v>
      </c>
      <c r="O30" s="2">
        <f>O29+Tabla32037[[#This Row],[Incremento]]</f>
        <v>184479.72654999999</v>
      </c>
      <c r="P30" s="2">
        <v>1624</v>
      </c>
      <c r="R30" s="12">
        <v>117</v>
      </c>
      <c r="S30" s="2">
        <f>S29+Tabla32037[[#This Row],[Incremento]]</f>
        <v>88383.3125</v>
      </c>
      <c r="T30" s="2">
        <v>1624</v>
      </c>
      <c r="V30" s="12">
        <v>117</v>
      </c>
      <c r="W30" s="2">
        <f>W29+Tabla32037[[#This Row],[Incremento]]</f>
        <v>616078.61494397931</v>
      </c>
      <c r="X30" s="2">
        <v>1624</v>
      </c>
      <c r="Y30" s="2"/>
      <c r="Z30" s="12">
        <v>117</v>
      </c>
      <c r="AA30" s="2">
        <f>AA29+Tabla32037[[#This Row],[Incremento]]</f>
        <v>145247.06790501633</v>
      </c>
      <c r="AB30" s="2">
        <v>1624</v>
      </c>
      <c r="AC30" s="2"/>
      <c r="AD30" s="12">
        <v>117</v>
      </c>
      <c r="AE30" s="2">
        <f>AE29+Tabla32037[[#This Row],[Incremento]]</f>
        <v>262886.13581003266</v>
      </c>
      <c r="AF30" s="2">
        <v>1624</v>
      </c>
      <c r="AH30" s="12">
        <v>117</v>
      </c>
      <c r="AI30" s="2">
        <f>AI29+Tabla32037[[#This Row],[Incremento]]</f>
        <v>262886.13581003266</v>
      </c>
      <c r="AJ30" s="2">
        <v>1624</v>
      </c>
      <c r="AM30" s="34">
        <v>117</v>
      </c>
      <c r="AN30" s="32">
        <f>AN29+Tabla32037[[#This Row],[Incremento]]</f>
        <v>356997.39013404562</v>
      </c>
      <c r="AO30" s="32">
        <v>1624</v>
      </c>
      <c r="AQ30" s="12">
        <v>117</v>
      </c>
      <c r="AR30" s="2">
        <f>AR29+Tabla32037[[#This Row],[Incremento]]</f>
        <v>251122.22901953099</v>
      </c>
      <c r="AS30" s="2">
        <v>1624</v>
      </c>
      <c r="AU30" s="12">
        <v>117</v>
      </c>
      <c r="AV30" s="2">
        <f>AV29+Tabla32037[[#This Row],[Incremento]]</f>
        <v>441893.60438720003</v>
      </c>
      <c r="AW30" s="2">
        <v>1624</v>
      </c>
      <c r="AX30" s="2"/>
      <c r="AY30" s="12">
        <v>117</v>
      </c>
      <c r="AZ30" s="2">
        <f>AZ29+Tabla32037[[#This Row],[Incremento]]</f>
        <v>1635916.9533449123</v>
      </c>
      <c r="BA30" s="2">
        <v>1624</v>
      </c>
      <c r="BC30" s="12">
        <v>117</v>
      </c>
      <c r="BD30" s="2">
        <f>BD29+Tabla32037[[#This Row],[Incremento]]</f>
        <v>165703.2014624</v>
      </c>
      <c r="BE30" s="2">
        <v>1624</v>
      </c>
    </row>
    <row r="31" spans="3:57" ht="17" customHeight="1" x14ac:dyDescent="0.2">
      <c r="C31" s="2"/>
      <c r="D31" s="2"/>
      <c r="F31" s="12">
        <v>118</v>
      </c>
      <c r="G31" s="2">
        <f>G30+Tabla32037[[#This Row],[Incremento]]</f>
        <v>271907.8228125</v>
      </c>
      <c r="H31" s="2">
        <v>1624</v>
      </c>
      <c r="J31" s="12">
        <v>118</v>
      </c>
      <c r="K31" s="2">
        <f>K30+Tabla32037[[#This Row],[Incremento]]</f>
        <v>271907.8228125</v>
      </c>
      <c r="L31" s="2">
        <v>1624</v>
      </c>
      <c r="N31" s="12">
        <v>118</v>
      </c>
      <c r="O31" s="2">
        <f>O30+Tabla32037[[#This Row],[Incremento]]</f>
        <v>186103.72654999999</v>
      </c>
      <c r="P31" s="2">
        <v>1624</v>
      </c>
      <c r="R31" s="12">
        <v>118</v>
      </c>
      <c r="S31" s="2">
        <f>S30+Tabla32037[[#This Row],[Incremento]]</f>
        <v>90007.3125</v>
      </c>
      <c r="T31" s="2">
        <v>1624</v>
      </c>
      <c r="V31" s="12">
        <v>118</v>
      </c>
      <c r="W31" s="2">
        <f>W30+Tabla32037[[#This Row],[Incremento]]</f>
        <v>617702.61494397931</v>
      </c>
      <c r="X31" s="2">
        <v>1624</v>
      </c>
      <c r="Y31" s="2"/>
      <c r="Z31" s="12">
        <v>118</v>
      </c>
      <c r="AA31" s="2">
        <f>AA30+Tabla32037[[#This Row],[Incremento]]</f>
        <v>146871.06790501633</v>
      </c>
      <c r="AB31" s="2">
        <v>1624</v>
      </c>
      <c r="AC31" s="2"/>
      <c r="AD31" s="12">
        <v>118</v>
      </c>
      <c r="AE31" s="2">
        <f>AE30+Tabla32037[[#This Row],[Incremento]]</f>
        <v>264510.13581003266</v>
      </c>
      <c r="AF31" s="2">
        <v>1624</v>
      </c>
      <c r="AH31" s="12">
        <v>118</v>
      </c>
      <c r="AI31" s="2">
        <f>AI30+Tabla32037[[#This Row],[Incremento]]</f>
        <v>264510.13581003266</v>
      </c>
      <c r="AJ31" s="2">
        <v>1624</v>
      </c>
      <c r="AM31" s="35">
        <v>118</v>
      </c>
      <c r="AN31" s="10">
        <f>AN30+Tabla32037[[#This Row],[Incremento]]</f>
        <v>358621.39013404562</v>
      </c>
      <c r="AO31" s="10">
        <v>1624</v>
      </c>
      <c r="AQ31" s="12">
        <v>118</v>
      </c>
      <c r="AR31" s="2">
        <f>AR30+Tabla32037[[#This Row],[Incremento]]</f>
        <v>252746.22901953099</v>
      </c>
      <c r="AS31" s="2">
        <v>1624</v>
      </c>
      <c r="AU31" s="12">
        <v>118</v>
      </c>
      <c r="AV31" s="2">
        <f>AV30+Tabla32037[[#This Row],[Incremento]]</f>
        <v>443517.60438720003</v>
      </c>
      <c r="AW31" s="2">
        <v>1624</v>
      </c>
      <c r="AX31" s="2"/>
      <c r="AY31" s="12">
        <v>118</v>
      </c>
      <c r="AZ31" s="2">
        <f>AZ30+Tabla32037[[#This Row],[Incremento]]</f>
        <v>1637540.9533449123</v>
      </c>
      <c r="BA31" s="2">
        <v>1624</v>
      </c>
      <c r="BC31" s="12">
        <v>118</v>
      </c>
      <c r="BD31" s="2">
        <f>BD30+Tabla32037[[#This Row],[Incremento]]</f>
        <v>167327.2014624</v>
      </c>
      <c r="BE31" s="2">
        <v>1624</v>
      </c>
    </row>
    <row r="32" spans="3:57" ht="17" customHeight="1" x14ac:dyDescent="0.2">
      <c r="C32" s="2"/>
      <c r="D32" s="2"/>
      <c r="F32" s="12">
        <v>119</v>
      </c>
      <c r="G32" s="2">
        <f>G31+Tabla32037[[#This Row],[Incremento]]</f>
        <v>273531.8228125</v>
      </c>
      <c r="H32" s="2">
        <v>1624</v>
      </c>
      <c r="J32" s="12">
        <v>119</v>
      </c>
      <c r="K32" s="2">
        <f>K31+Tabla32037[[#This Row],[Incremento]]</f>
        <v>273531.8228125</v>
      </c>
      <c r="L32" s="2">
        <v>1624</v>
      </c>
      <c r="N32" s="12">
        <v>119</v>
      </c>
      <c r="O32" s="2">
        <f>O31+Tabla32037[[#This Row],[Incremento]]</f>
        <v>187727.72654999999</v>
      </c>
      <c r="P32" s="2">
        <v>1624</v>
      </c>
      <c r="R32" s="12">
        <v>119</v>
      </c>
      <c r="S32" s="2">
        <f>S31+Tabla32037[[#This Row],[Incremento]]</f>
        <v>91631.3125</v>
      </c>
      <c r="T32" s="2">
        <v>1624</v>
      </c>
      <c r="V32" s="12">
        <v>119</v>
      </c>
      <c r="W32" s="2">
        <f>W31+Tabla32037[[#This Row],[Incremento]]</f>
        <v>619326.61494397931</v>
      </c>
      <c r="X32" s="2">
        <v>1624</v>
      </c>
      <c r="Y32" s="2"/>
      <c r="Z32" s="12">
        <v>119</v>
      </c>
      <c r="AA32" s="2">
        <f>AA31+Tabla32037[[#This Row],[Incremento]]</f>
        <v>148495.06790501633</v>
      </c>
      <c r="AB32" s="2">
        <v>1624</v>
      </c>
      <c r="AC32" s="2"/>
      <c r="AD32" s="12">
        <v>119</v>
      </c>
      <c r="AE32" s="2">
        <f>AE31+Tabla32037[[#This Row],[Incremento]]</f>
        <v>266134.13581003266</v>
      </c>
      <c r="AF32" s="2">
        <v>1624</v>
      </c>
      <c r="AH32" s="12">
        <v>119</v>
      </c>
      <c r="AI32" s="2">
        <f>AI31+Tabla32037[[#This Row],[Incremento]]</f>
        <v>266134.13581003266</v>
      </c>
      <c r="AJ32" s="2">
        <v>1624</v>
      </c>
      <c r="AM32" s="34">
        <v>119</v>
      </c>
      <c r="AN32" s="32">
        <f>AN31+Tabla32037[[#This Row],[Incremento]]</f>
        <v>360245.39013404562</v>
      </c>
      <c r="AO32" s="32">
        <v>1624</v>
      </c>
      <c r="AQ32" s="12">
        <v>119</v>
      </c>
      <c r="AR32" s="2">
        <f>AR31+Tabla32037[[#This Row],[Incremento]]</f>
        <v>254370.22901953099</v>
      </c>
      <c r="AS32" s="2">
        <v>1624</v>
      </c>
      <c r="AU32" s="12">
        <v>119</v>
      </c>
      <c r="AV32" s="2">
        <f>AV31+Tabla32037[[#This Row],[Incremento]]</f>
        <v>445141.60438720003</v>
      </c>
      <c r="AW32" s="2">
        <v>1624</v>
      </c>
      <c r="AX32" s="2"/>
      <c r="AY32" s="12">
        <v>119</v>
      </c>
      <c r="AZ32" s="2">
        <f>AZ31+Tabla32037[[#This Row],[Incremento]]</f>
        <v>1639164.9533449123</v>
      </c>
      <c r="BA32" s="2">
        <v>1624</v>
      </c>
      <c r="BC32" s="12">
        <v>119</v>
      </c>
      <c r="BD32" s="2">
        <f>BD31+Tabla32037[[#This Row],[Incremento]]</f>
        <v>168951.2014624</v>
      </c>
      <c r="BE32" s="2">
        <v>1624</v>
      </c>
    </row>
    <row r="33" spans="3:57" ht="17" customHeight="1" x14ac:dyDescent="0.2">
      <c r="C33" s="2"/>
      <c r="D33" s="2"/>
      <c r="F33" s="12">
        <v>120</v>
      </c>
      <c r="G33" s="2">
        <f>G32+Tabla32037[[#This Row],[Incremento]]</f>
        <v>275155.8228125</v>
      </c>
      <c r="H33" s="2">
        <v>1624</v>
      </c>
      <c r="J33" s="12">
        <v>120</v>
      </c>
      <c r="K33" s="2">
        <f>K32+Tabla32037[[#This Row],[Incremento]]</f>
        <v>275155.8228125</v>
      </c>
      <c r="L33" s="2">
        <v>1624</v>
      </c>
      <c r="N33" s="12">
        <v>120</v>
      </c>
      <c r="O33" s="2">
        <f>O32+Tabla32037[[#This Row],[Incremento]]</f>
        <v>189351.72654999999</v>
      </c>
      <c r="P33" s="2">
        <v>1624</v>
      </c>
      <c r="R33" s="12">
        <v>120</v>
      </c>
      <c r="S33" s="2">
        <f>S32+Tabla32037[[#This Row],[Incremento]]</f>
        <v>93255.3125</v>
      </c>
      <c r="T33" s="2">
        <v>1624</v>
      </c>
      <c r="V33" s="12">
        <v>120</v>
      </c>
      <c r="W33" s="2">
        <f>W32+Tabla32037[[#This Row],[Incremento]]</f>
        <v>620950.61494397931</v>
      </c>
      <c r="X33" s="2">
        <v>1624</v>
      </c>
      <c r="Y33" s="2"/>
      <c r="Z33" s="12">
        <v>120</v>
      </c>
      <c r="AA33" s="2">
        <f>AA32+Tabla32037[[#This Row],[Incremento]]</f>
        <v>150119.06790501633</v>
      </c>
      <c r="AB33" s="2">
        <v>1624</v>
      </c>
      <c r="AC33" s="2"/>
      <c r="AD33" s="12">
        <v>120</v>
      </c>
      <c r="AE33" s="2">
        <f>AE32+Tabla32037[[#This Row],[Incremento]]</f>
        <v>267758.13581003266</v>
      </c>
      <c r="AF33" s="2">
        <v>1624</v>
      </c>
      <c r="AH33" s="12">
        <v>120</v>
      </c>
      <c r="AI33" s="2">
        <f>AI32+Tabla32037[[#This Row],[Incremento]]</f>
        <v>267758.13581003266</v>
      </c>
      <c r="AJ33" s="2">
        <v>1624</v>
      </c>
      <c r="AM33" s="35">
        <v>120</v>
      </c>
      <c r="AN33" s="10">
        <f>AN32+Tabla32037[[#This Row],[Incremento]]</f>
        <v>361869.39013404562</v>
      </c>
      <c r="AO33" s="10">
        <v>1624</v>
      </c>
      <c r="AQ33" s="12">
        <v>120</v>
      </c>
      <c r="AR33" s="2">
        <f>AR32+Tabla32037[[#This Row],[Incremento]]</f>
        <v>255994.22901953099</v>
      </c>
      <c r="AS33" s="2">
        <v>1624</v>
      </c>
      <c r="AU33" s="12">
        <v>120</v>
      </c>
      <c r="AV33" s="2">
        <f>AV32+Tabla32037[[#This Row],[Incremento]]</f>
        <v>446765.60438720003</v>
      </c>
      <c r="AW33" s="2">
        <v>1624</v>
      </c>
      <c r="AX33" s="2"/>
      <c r="AY33" s="12">
        <v>120</v>
      </c>
      <c r="AZ33" s="2">
        <f>AZ32+Tabla32037[[#This Row],[Incremento]]</f>
        <v>1640788.9533449123</v>
      </c>
      <c r="BA33" s="2">
        <v>1624</v>
      </c>
      <c r="BC33" s="12">
        <v>120</v>
      </c>
      <c r="BD33" s="2">
        <f>BD32+Tabla32037[[#This Row],[Incremento]]</f>
        <v>170575.2014624</v>
      </c>
      <c r="BE33" s="2">
        <v>1624</v>
      </c>
    </row>
    <row r="34" spans="3:57" ht="17" customHeight="1" x14ac:dyDescent="0.2">
      <c r="C34" s="2"/>
      <c r="D34" s="2"/>
      <c r="F34" s="12">
        <v>121</v>
      </c>
      <c r="G34" s="2">
        <f>G33+Tabla32037[[#This Row],[Incremento]]</f>
        <v>276779.8228125</v>
      </c>
      <c r="H34" s="2">
        <v>1624</v>
      </c>
      <c r="J34" s="12">
        <v>121</v>
      </c>
      <c r="K34" s="2">
        <f>K33+Tabla32037[[#This Row],[Incremento]]</f>
        <v>276779.8228125</v>
      </c>
      <c r="L34" s="2">
        <v>1624</v>
      </c>
      <c r="N34" s="12">
        <v>121</v>
      </c>
      <c r="O34" s="2">
        <f>O33+Tabla32037[[#This Row],[Incremento]]</f>
        <v>190975.72654999999</v>
      </c>
      <c r="P34" s="2">
        <v>1624</v>
      </c>
      <c r="R34" s="12">
        <v>121</v>
      </c>
      <c r="S34" s="2">
        <f>S33+Tabla32037[[#This Row],[Incremento]]</f>
        <v>94879.3125</v>
      </c>
      <c r="T34" s="2">
        <v>1624</v>
      </c>
      <c r="V34" s="12">
        <v>121</v>
      </c>
      <c r="W34" s="2">
        <f>W33+Tabla32037[[#This Row],[Incremento]]</f>
        <v>622574.61494397931</v>
      </c>
      <c r="X34" s="2">
        <v>1624</v>
      </c>
      <c r="Y34" s="2"/>
      <c r="Z34" s="12">
        <v>121</v>
      </c>
      <c r="AA34" s="2">
        <f>AA33+Tabla32037[[#This Row],[Incremento]]</f>
        <v>151743.06790501633</v>
      </c>
      <c r="AB34" s="2">
        <v>1624</v>
      </c>
      <c r="AC34" s="2"/>
      <c r="AD34" s="12">
        <v>121</v>
      </c>
      <c r="AE34" s="2">
        <f>AE33+Tabla32037[[#This Row],[Incremento]]</f>
        <v>269382.13581003266</v>
      </c>
      <c r="AF34" s="2">
        <v>1624</v>
      </c>
      <c r="AH34" s="12">
        <v>121</v>
      </c>
      <c r="AI34" s="2">
        <f>AI33+Tabla32037[[#This Row],[Incremento]]</f>
        <v>269382.13581003266</v>
      </c>
      <c r="AJ34" s="2">
        <v>1624</v>
      </c>
      <c r="AM34" s="34">
        <v>121</v>
      </c>
      <c r="AN34" s="32">
        <f>AN33+Tabla32037[[#This Row],[Incremento]]</f>
        <v>363493.39013404562</v>
      </c>
      <c r="AO34" s="32">
        <v>1624</v>
      </c>
      <c r="AQ34" s="12">
        <v>121</v>
      </c>
      <c r="AR34" s="2">
        <f>AR33+Tabla32037[[#This Row],[Incremento]]</f>
        <v>257618.22901953099</v>
      </c>
      <c r="AS34" s="2">
        <v>1624</v>
      </c>
      <c r="AU34" s="12">
        <v>121</v>
      </c>
      <c r="AV34" s="2">
        <f>AV33+Tabla32037[[#This Row],[Incremento]]</f>
        <v>448389.60438720003</v>
      </c>
      <c r="AW34" s="2">
        <v>1624</v>
      </c>
      <c r="AX34" s="2"/>
      <c r="AY34" s="12">
        <v>121</v>
      </c>
      <c r="AZ34" s="2">
        <f>AZ33+Tabla32037[[#This Row],[Incremento]]</f>
        <v>1642412.9533449123</v>
      </c>
      <c r="BA34" s="2">
        <v>1624</v>
      </c>
      <c r="BC34" s="12">
        <v>121</v>
      </c>
      <c r="BD34" s="2">
        <f>BD33+Tabla32037[[#This Row],[Incremento]]</f>
        <v>172199.2014624</v>
      </c>
      <c r="BE34" s="2">
        <v>1624</v>
      </c>
    </row>
    <row r="35" spans="3:57" ht="17" customHeight="1" x14ac:dyDescent="0.2">
      <c r="C35" s="2"/>
      <c r="D35" s="2"/>
      <c r="F35" s="12">
        <v>122</v>
      </c>
      <c r="G35" s="2">
        <f>G34+Tabla32037[[#This Row],[Incremento]]</f>
        <v>278403.8228125</v>
      </c>
      <c r="H35" s="2">
        <v>1624</v>
      </c>
      <c r="J35" s="12">
        <v>122</v>
      </c>
      <c r="K35" s="2">
        <f>K34+Tabla32037[[#This Row],[Incremento]]</f>
        <v>278403.8228125</v>
      </c>
      <c r="L35" s="2">
        <v>1624</v>
      </c>
      <c r="N35" s="12">
        <v>122</v>
      </c>
      <c r="O35" s="2">
        <f>O34+Tabla32037[[#This Row],[Incremento]]</f>
        <v>192599.72654999999</v>
      </c>
      <c r="P35" s="2">
        <v>1624</v>
      </c>
      <c r="R35" s="12">
        <v>122</v>
      </c>
      <c r="S35" s="2">
        <f>S34+Tabla32037[[#This Row],[Incremento]]</f>
        <v>96503.3125</v>
      </c>
      <c r="T35" s="2">
        <v>1624</v>
      </c>
      <c r="V35" s="12">
        <v>122</v>
      </c>
      <c r="W35" s="2">
        <f>W34+Tabla32037[[#This Row],[Incremento]]</f>
        <v>624198.61494397931</v>
      </c>
      <c r="X35" s="2">
        <v>1624</v>
      </c>
      <c r="Y35" s="2"/>
      <c r="Z35" s="12">
        <v>122</v>
      </c>
      <c r="AA35" s="2">
        <f>AA34+Tabla32037[[#This Row],[Incremento]]</f>
        <v>153367.06790501633</v>
      </c>
      <c r="AB35" s="2">
        <v>1624</v>
      </c>
      <c r="AC35" s="2"/>
      <c r="AD35" s="12">
        <v>122</v>
      </c>
      <c r="AE35" s="2">
        <f>AE34+Tabla32037[[#This Row],[Incremento]]</f>
        <v>271006.13581003266</v>
      </c>
      <c r="AF35" s="2">
        <v>1624</v>
      </c>
      <c r="AH35" s="12">
        <v>122</v>
      </c>
      <c r="AI35" s="2">
        <f>AI34+Tabla32037[[#This Row],[Incremento]]</f>
        <v>271006.13581003266</v>
      </c>
      <c r="AJ35" s="2">
        <v>1624</v>
      </c>
      <c r="AM35" s="35">
        <v>122</v>
      </c>
      <c r="AN35" s="10">
        <f>AN34+Tabla32037[[#This Row],[Incremento]]</f>
        <v>365117.39013404562</v>
      </c>
      <c r="AO35" s="10">
        <v>1624</v>
      </c>
      <c r="AQ35" s="12">
        <v>122</v>
      </c>
      <c r="AR35" s="2">
        <f>AR34+Tabla32037[[#This Row],[Incremento]]</f>
        <v>259242.22901953099</v>
      </c>
      <c r="AS35" s="2">
        <v>1624</v>
      </c>
      <c r="AU35" s="12">
        <v>122</v>
      </c>
      <c r="AV35" s="2">
        <f>AV34+Tabla32037[[#This Row],[Incremento]]</f>
        <v>450013.60438720003</v>
      </c>
      <c r="AW35" s="2">
        <v>1624</v>
      </c>
      <c r="AX35" s="2"/>
      <c r="AY35" s="12">
        <v>122</v>
      </c>
      <c r="AZ35" s="2">
        <f>AZ34+Tabla32037[[#This Row],[Incremento]]</f>
        <v>1644036.9533449123</v>
      </c>
      <c r="BA35" s="2">
        <v>1624</v>
      </c>
      <c r="BC35" s="12">
        <v>122</v>
      </c>
      <c r="BD35" s="2">
        <f>BD34+Tabla32037[[#This Row],[Incremento]]</f>
        <v>173823.2014624</v>
      </c>
      <c r="BE35" s="2">
        <v>1624</v>
      </c>
    </row>
    <row r="36" spans="3:57" ht="17" customHeight="1" x14ac:dyDescent="0.2">
      <c r="C36" s="2"/>
      <c r="D36" s="2"/>
      <c r="F36" s="12">
        <v>123</v>
      </c>
      <c r="G36" s="2">
        <f>G35+Tabla32037[[#This Row],[Incremento]]</f>
        <v>280027.8228125</v>
      </c>
      <c r="H36" s="2">
        <v>1624</v>
      </c>
      <c r="J36" s="12">
        <v>123</v>
      </c>
      <c r="K36" s="2">
        <f>K35+Tabla32037[[#This Row],[Incremento]]</f>
        <v>280027.8228125</v>
      </c>
      <c r="L36" s="2">
        <v>1624</v>
      </c>
      <c r="N36" s="12">
        <v>123</v>
      </c>
      <c r="O36" s="2">
        <f>O35+Tabla32037[[#This Row],[Incremento]]</f>
        <v>194223.72654999999</v>
      </c>
      <c r="P36" s="2">
        <v>1624</v>
      </c>
      <c r="R36" s="12">
        <v>123</v>
      </c>
      <c r="S36" s="2">
        <f>S35+Tabla32037[[#This Row],[Incremento]]</f>
        <v>98127.3125</v>
      </c>
      <c r="T36" s="2">
        <v>1624</v>
      </c>
      <c r="V36" s="12">
        <v>123</v>
      </c>
      <c r="W36" s="2">
        <f>W35+Tabla32037[[#This Row],[Incremento]]</f>
        <v>625822.61494397931</v>
      </c>
      <c r="X36" s="2">
        <v>1624</v>
      </c>
      <c r="Y36" s="2"/>
      <c r="Z36" s="12">
        <v>123</v>
      </c>
      <c r="AA36" s="2">
        <f>AA35+Tabla32037[[#This Row],[Incremento]]</f>
        <v>154991.06790501633</v>
      </c>
      <c r="AB36" s="2">
        <v>1624</v>
      </c>
      <c r="AC36" s="2"/>
      <c r="AD36" s="12">
        <v>123</v>
      </c>
      <c r="AE36" s="2">
        <f>AE35+Tabla32037[[#This Row],[Incremento]]</f>
        <v>272630.13581003266</v>
      </c>
      <c r="AF36" s="2">
        <v>1624</v>
      </c>
      <c r="AH36" s="12">
        <v>123</v>
      </c>
      <c r="AI36" s="2">
        <f>AI35+Tabla32037[[#This Row],[Incremento]]</f>
        <v>272630.13581003266</v>
      </c>
      <c r="AJ36" s="2">
        <v>1624</v>
      </c>
      <c r="AM36" s="34">
        <v>123</v>
      </c>
      <c r="AN36" s="32">
        <f>AN35+Tabla32037[[#This Row],[Incremento]]</f>
        <v>366741.39013404562</v>
      </c>
      <c r="AO36" s="32">
        <v>1624</v>
      </c>
      <c r="AQ36" s="12">
        <v>123</v>
      </c>
      <c r="AR36" s="2">
        <f>AR35+Tabla32037[[#This Row],[Incremento]]</f>
        <v>260866.22901953099</v>
      </c>
      <c r="AS36" s="2">
        <v>1624</v>
      </c>
      <c r="AU36" s="12">
        <v>123</v>
      </c>
      <c r="AV36" s="2">
        <f>AV35+Tabla32037[[#This Row],[Incremento]]</f>
        <v>451637.60438720003</v>
      </c>
      <c r="AW36" s="2">
        <v>1624</v>
      </c>
      <c r="AX36" s="2"/>
      <c r="AY36" s="12">
        <v>123</v>
      </c>
      <c r="AZ36" s="2">
        <f>AZ35+Tabla32037[[#This Row],[Incremento]]</f>
        <v>1645660.9533449123</v>
      </c>
      <c r="BA36" s="2">
        <v>1624</v>
      </c>
      <c r="BC36" s="12">
        <v>123</v>
      </c>
      <c r="BD36" s="2">
        <f>BD35+Tabla32037[[#This Row],[Incremento]]</f>
        <v>175447.2014624</v>
      </c>
      <c r="BE36" s="2">
        <v>1624</v>
      </c>
    </row>
    <row r="37" spans="3:57" ht="17" customHeight="1" x14ac:dyDescent="0.2">
      <c r="C37" s="2"/>
      <c r="D37" s="2"/>
      <c r="F37" s="12">
        <v>124</v>
      </c>
      <c r="G37" s="2">
        <f>G36+Tabla32037[[#This Row],[Incremento]]</f>
        <v>281651.8228125</v>
      </c>
      <c r="H37" s="2">
        <v>1624</v>
      </c>
      <c r="J37" s="12">
        <v>124</v>
      </c>
      <c r="K37" s="2">
        <f>K36+Tabla32037[[#This Row],[Incremento]]</f>
        <v>281651.8228125</v>
      </c>
      <c r="L37" s="2">
        <v>1624</v>
      </c>
      <c r="N37" s="12">
        <v>124</v>
      </c>
      <c r="O37" s="2">
        <f>O36+Tabla32037[[#This Row],[Incremento]]</f>
        <v>195847.72654999999</v>
      </c>
      <c r="P37" s="2">
        <v>1624</v>
      </c>
      <c r="R37" s="12">
        <v>124</v>
      </c>
      <c r="S37" s="2">
        <f>S36+Tabla32037[[#This Row],[Incremento]]</f>
        <v>99751.3125</v>
      </c>
      <c r="T37" s="2">
        <v>1624</v>
      </c>
      <c r="V37" s="12">
        <v>124</v>
      </c>
      <c r="W37" s="2">
        <f>W36+Tabla32037[[#This Row],[Incremento]]</f>
        <v>627446.61494397931</v>
      </c>
      <c r="X37" s="2">
        <v>1624</v>
      </c>
      <c r="Y37" s="2"/>
      <c r="Z37" s="12">
        <v>124</v>
      </c>
      <c r="AA37" s="2">
        <f>AA36+Tabla32037[[#This Row],[Incremento]]</f>
        <v>156615.06790501633</v>
      </c>
      <c r="AB37" s="2">
        <v>1624</v>
      </c>
      <c r="AC37" s="2"/>
      <c r="AD37" s="12">
        <v>124</v>
      </c>
      <c r="AE37" s="2">
        <f>AE36+Tabla32037[[#This Row],[Incremento]]</f>
        <v>274254.13581003266</v>
      </c>
      <c r="AF37" s="2">
        <v>1624</v>
      </c>
      <c r="AH37" s="12">
        <v>124</v>
      </c>
      <c r="AI37" s="2">
        <f>AI36+Tabla32037[[#This Row],[Incremento]]</f>
        <v>274254.13581003266</v>
      </c>
      <c r="AJ37" s="2">
        <v>1624</v>
      </c>
      <c r="AM37" s="35">
        <v>124</v>
      </c>
      <c r="AN37" s="10">
        <f>AN36+Tabla32037[[#This Row],[Incremento]]</f>
        <v>368365.39013404562</v>
      </c>
      <c r="AO37" s="10">
        <v>1624</v>
      </c>
      <c r="AQ37" s="12">
        <v>124</v>
      </c>
      <c r="AR37" s="2">
        <f>AR36+Tabla32037[[#This Row],[Incremento]]</f>
        <v>262490.22901953099</v>
      </c>
      <c r="AS37" s="2">
        <v>1624</v>
      </c>
      <c r="AU37" s="12">
        <v>124</v>
      </c>
      <c r="AV37" s="2">
        <f>AV36+Tabla32037[[#This Row],[Incremento]]</f>
        <v>453261.60438720003</v>
      </c>
      <c r="AW37" s="2">
        <v>1624</v>
      </c>
      <c r="AX37" s="2"/>
      <c r="AY37" s="12">
        <v>124</v>
      </c>
      <c r="AZ37" s="2">
        <f>AZ36+Tabla32037[[#This Row],[Incremento]]</f>
        <v>1647284.9533449123</v>
      </c>
      <c r="BA37" s="2">
        <v>1624</v>
      </c>
      <c r="BC37" s="12">
        <v>124</v>
      </c>
      <c r="BD37" s="2">
        <f>BD36+Tabla32037[[#This Row],[Incremento]]</f>
        <v>177071.2014624</v>
      </c>
      <c r="BE37" s="2">
        <v>1624</v>
      </c>
    </row>
    <row r="38" spans="3:57" ht="17" customHeight="1" x14ac:dyDescent="0.2">
      <c r="C38" s="2"/>
      <c r="D38" s="2"/>
      <c r="F38" s="12">
        <v>125</v>
      </c>
      <c r="G38" s="2">
        <f>G37+Tabla32037[[#This Row],[Incremento]]</f>
        <v>283275.8228125</v>
      </c>
      <c r="H38" s="2">
        <v>1624</v>
      </c>
      <c r="J38" s="12">
        <v>125</v>
      </c>
      <c r="K38" s="2">
        <f>K37+Tabla32037[[#This Row],[Incremento]]</f>
        <v>283275.8228125</v>
      </c>
      <c r="L38" s="2">
        <v>1624</v>
      </c>
      <c r="N38" s="12">
        <v>125</v>
      </c>
      <c r="O38" s="2">
        <f>O37+Tabla32037[[#This Row],[Incremento]]</f>
        <v>197471.72654999999</v>
      </c>
      <c r="P38" s="2">
        <v>1624</v>
      </c>
      <c r="R38" s="12">
        <v>125</v>
      </c>
      <c r="S38" s="2">
        <f>S37+Tabla32037[[#This Row],[Incremento]]</f>
        <v>101375.3125</v>
      </c>
      <c r="T38" s="2">
        <v>1624</v>
      </c>
      <c r="V38" s="12">
        <v>125</v>
      </c>
      <c r="W38" s="2">
        <f>W37+Tabla32037[[#This Row],[Incremento]]</f>
        <v>629070.61494397931</v>
      </c>
      <c r="X38" s="2">
        <v>1624</v>
      </c>
      <c r="Y38" s="2"/>
      <c r="Z38" s="12">
        <v>125</v>
      </c>
      <c r="AA38" s="2">
        <f>AA37+Tabla32037[[#This Row],[Incremento]]</f>
        <v>158239.06790501633</v>
      </c>
      <c r="AB38" s="2">
        <v>1624</v>
      </c>
      <c r="AC38" s="2"/>
      <c r="AD38" s="12">
        <v>125</v>
      </c>
      <c r="AE38" s="2">
        <f>AE37+Tabla32037[[#This Row],[Incremento]]</f>
        <v>275878.13581003266</v>
      </c>
      <c r="AF38" s="2">
        <v>1624</v>
      </c>
      <c r="AH38" s="12">
        <v>125</v>
      </c>
      <c r="AI38" s="2">
        <f>AI37+Tabla32037[[#This Row],[Incremento]]</f>
        <v>275878.13581003266</v>
      </c>
      <c r="AJ38" s="2">
        <v>1624</v>
      </c>
      <c r="AM38" s="34">
        <v>125</v>
      </c>
      <c r="AN38" s="32">
        <f>AN37+Tabla32037[[#This Row],[Incremento]]</f>
        <v>369989.39013404562</v>
      </c>
      <c r="AO38" s="32">
        <v>1624</v>
      </c>
      <c r="AQ38" s="12">
        <v>125</v>
      </c>
      <c r="AR38" s="2">
        <f>AR37+Tabla32037[[#This Row],[Incremento]]</f>
        <v>264114.22901953099</v>
      </c>
      <c r="AS38" s="2">
        <v>1624</v>
      </c>
      <c r="AU38" s="12">
        <v>125</v>
      </c>
      <c r="AV38" s="2">
        <f>AV37+Tabla32037[[#This Row],[Incremento]]</f>
        <v>454885.60438720003</v>
      </c>
      <c r="AW38" s="2">
        <v>1624</v>
      </c>
      <c r="AX38" s="2"/>
      <c r="AY38" s="12">
        <v>125</v>
      </c>
      <c r="AZ38" s="2">
        <f>AZ37+Tabla32037[[#This Row],[Incremento]]</f>
        <v>1648908.9533449123</v>
      </c>
      <c r="BA38" s="2">
        <v>1624</v>
      </c>
      <c r="BC38" s="12">
        <v>125</v>
      </c>
      <c r="BD38" s="2">
        <f>BD37+Tabla32037[[#This Row],[Incremento]]</f>
        <v>178695.2014624</v>
      </c>
      <c r="BE38" s="2">
        <v>1624</v>
      </c>
    </row>
    <row r="39" spans="3:57" ht="17" customHeight="1" x14ac:dyDescent="0.2">
      <c r="C39" s="2"/>
      <c r="D39" s="2"/>
      <c r="F39" s="12">
        <v>126</v>
      </c>
      <c r="G39" s="2">
        <f>G38+Tabla32037[[#This Row],[Incremento]]</f>
        <v>284899.8228125</v>
      </c>
      <c r="H39" s="2">
        <v>1624</v>
      </c>
      <c r="J39" s="12">
        <v>126</v>
      </c>
      <c r="K39" s="2">
        <f>K38+Tabla32037[[#This Row],[Incremento]]</f>
        <v>284899.8228125</v>
      </c>
      <c r="L39" s="2">
        <v>1624</v>
      </c>
      <c r="N39" s="12">
        <v>126</v>
      </c>
      <c r="O39" s="2">
        <f>O38+Tabla32037[[#This Row],[Incremento]]</f>
        <v>199095.72654999999</v>
      </c>
      <c r="P39" s="2">
        <v>1624</v>
      </c>
      <c r="R39" s="12">
        <v>126</v>
      </c>
      <c r="S39" s="2">
        <f>S38+Tabla32037[[#This Row],[Incremento]]</f>
        <v>102999.3125</v>
      </c>
      <c r="T39" s="2">
        <v>1624</v>
      </c>
      <c r="V39" s="12">
        <v>126</v>
      </c>
      <c r="W39" s="2">
        <f>W38+Tabla32037[[#This Row],[Incremento]]</f>
        <v>630694.61494397931</v>
      </c>
      <c r="X39" s="2">
        <v>1624</v>
      </c>
      <c r="Y39" s="2"/>
      <c r="Z39" s="12">
        <v>126</v>
      </c>
      <c r="AA39" s="2">
        <f>AA38+Tabla32037[[#This Row],[Incremento]]</f>
        <v>159863.06790501633</v>
      </c>
      <c r="AB39" s="2">
        <v>1624</v>
      </c>
      <c r="AC39" s="2"/>
      <c r="AD39" s="12">
        <v>126</v>
      </c>
      <c r="AE39" s="2">
        <f>AE38+Tabla32037[[#This Row],[Incremento]]</f>
        <v>277502.13581003266</v>
      </c>
      <c r="AF39" s="2">
        <v>1624</v>
      </c>
      <c r="AH39" s="12">
        <v>126</v>
      </c>
      <c r="AI39" s="2">
        <f>AI38+Tabla32037[[#This Row],[Incremento]]</f>
        <v>277502.13581003266</v>
      </c>
      <c r="AJ39" s="2">
        <v>1624</v>
      </c>
      <c r="AM39" s="35">
        <v>126</v>
      </c>
      <c r="AN39" s="10">
        <f>AN38+Tabla32037[[#This Row],[Incremento]]</f>
        <v>371613.39013404562</v>
      </c>
      <c r="AO39" s="10">
        <v>1624</v>
      </c>
      <c r="AQ39" s="12">
        <v>126</v>
      </c>
      <c r="AR39" s="2">
        <f>AR38+Tabla32037[[#This Row],[Incremento]]</f>
        <v>265738.22901953099</v>
      </c>
      <c r="AS39" s="2">
        <v>1624</v>
      </c>
      <c r="AU39" s="12">
        <v>126</v>
      </c>
      <c r="AV39" s="2">
        <f>AV38+Tabla32037[[#This Row],[Incremento]]</f>
        <v>456509.60438720003</v>
      </c>
      <c r="AW39" s="2">
        <v>1624</v>
      </c>
      <c r="AX39" s="2"/>
      <c r="AY39" s="12">
        <v>126</v>
      </c>
      <c r="AZ39" s="2">
        <f>AZ38+Tabla32037[[#This Row],[Incremento]]</f>
        <v>1650532.9533449123</v>
      </c>
      <c r="BA39" s="2">
        <v>1624</v>
      </c>
      <c r="BC39" s="12">
        <v>126</v>
      </c>
      <c r="BD39" s="2">
        <f>BD38+Tabla32037[[#This Row],[Incremento]]</f>
        <v>180319.2014624</v>
      </c>
      <c r="BE39" s="2">
        <v>1624</v>
      </c>
    </row>
    <row r="40" spans="3:57" ht="17" customHeight="1" x14ac:dyDescent="0.2">
      <c r="C40" s="2"/>
      <c r="D40" s="2"/>
      <c r="F40" s="12">
        <v>127</v>
      </c>
      <c r="G40" s="2">
        <f>G39+Tabla32037[[#This Row],[Incremento]]</f>
        <v>286523.8228125</v>
      </c>
      <c r="H40" s="2">
        <v>1624</v>
      </c>
      <c r="J40" s="12">
        <v>127</v>
      </c>
      <c r="K40" s="2">
        <f>K39+Tabla32037[[#This Row],[Incremento]]</f>
        <v>286523.8228125</v>
      </c>
      <c r="L40" s="2">
        <v>1624</v>
      </c>
      <c r="N40" s="12">
        <v>127</v>
      </c>
      <c r="O40" s="2">
        <f>O39+Tabla32037[[#This Row],[Incremento]]</f>
        <v>200719.72654999999</v>
      </c>
      <c r="P40" s="2">
        <v>1624</v>
      </c>
      <c r="R40" s="12">
        <v>127</v>
      </c>
      <c r="S40" s="2">
        <f>S39+Tabla32037[[#This Row],[Incremento]]</f>
        <v>104623.3125</v>
      </c>
      <c r="T40" s="2">
        <v>1624</v>
      </c>
      <c r="V40" s="12">
        <v>127</v>
      </c>
      <c r="W40" s="2">
        <f>W39+Tabla32037[[#This Row],[Incremento]]</f>
        <v>632318.61494397931</v>
      </c>
      <c r="X40" s="2">
        <v>1624</v>
      </c>
      <c r="Y40" s="2"/>
      <c r="Z40" s="12">
        <v>127</v>
      </c>
      <c r="AA40" s="2">
        <f>AA39+Tabla32037[[#This Row],[Incremento]]</f>
        <v>161487.06790501633</v>
      </c>
      <c r="AB40" s="2">
        <v>1624</v>
      </c>
      <c r="AC40" s="2"/>
      <c r="AD40" s="12">
        <v>127</v>
      </c>
      <c r="AE40" s="2">
        <f>AE39+Tabla32037[[#This Row],[Incremento]]</f>
        <v>279126.13581003266</v>
      </c>
      <c r="AF40" s="2">
        <v>1624</v>
      </c>
      <c r="AH40" s="12">
        <v>127</v>
      </c>
      <c r="AI40" s="2">
        <f>AI39+Tabla32037[[#This Row],[Incremento]]</f>
        <v>279126.13581003266</v>
      </c>
      <c r="AJ40" s="2">
        <v>1624</v>
      </c>
      <c r="AM40" s="34">
        <v>127</v>
      </c>
      <c r="AN40" s="32">
        <f>AN39+Tabla32037[[#This Row],[Incremento]]</f>
        <v>373237.39013404562</v>
      </c>
      <c r="AO40" s="32">
        <v>1624</v>
      </c>
      <c r="AQ40" s="12">
        <v>127</v>
      </c>
      <c r="AR40" s="2">
        <f>AR39+Tabla32037[[#This Row],[Incremento]]</f>
        <v>267362.22901953099</v>
      </c>
      <c r="AS40" s="2">
        <v>1624</v>
      </c>
      <c r="AU40" s="12">
        <v>127</v>
      </c>
      <c r="AV40" s="2">
        <f>AV39+Tabla32037[[#This Row],[Incremento]]</f>
        <v>458133.60438720003</v>
      </c>
      <c r="AW40" s="2">
        <v>1624</v>
      </c>
      <c r="AX40" s="2"/>
      <c r="AY40" s="12">
        <v>127</v>
      </c>
      <c r="AZ40" s="2">
        <f>AZ39+Tabla32037[[#This Row],[Incremento]]</f>
        <v>1652156.9533449123</v>
      </c>
      <c r="BA40" s="2">
        <v>1624</v>
      </c>
      <c r="BC40" s="12">
        <v>127</v>
      </c>
      <c r="BD40" s="2">
        <f>BD39+Tabla32037[[#This Row],[Incremento]]</f>
        <v>181943.2014624</v>
      </c>
      <c r="BE40" s="2">
        <v>1624</v>
      </c>
    </row>
    <row r="41" spans="3:57" ht="17" customHeight="1" x14ac:dyDescent="0.2">
      <c r="C41" s="2"/>
      <c r="D41" s="2"/>
      <c r="F41" s="12">
        <v>128</v>
      </c>
      <c r="G41" s="2">
        <f>G40+Tabla32037[[#This Row],[Incremento]]</f>
        <v>288147.8228125</v>
      </c>
      <c r="H41" s="2">
        <v>1624</v>
      </c>
      <c r="J41" s="12">
        <v>128</v>
      </c>
      <c r="K41" s="2">
        <f>K40+Tabla32037[[#This Row],[Incremento]]</f>
        <v>288147.8228125</v>
      </c>
      <c r="L41" s="2">
        <v>1624</v>
      </c>
      <c r="N41" s="12">
        <v>128</v>
      </c>
      <c r="O41" s="2">
        <f>O40+Tabla32037[[#This Row],[Incremento]]</f>
        <v>202343.72654999999</v>
      </c>
      <c r="P41" s="2">
        <v>1624</v>
      </c>
      <c r="R41" s="12">
        <v>128</v>
      </c>
      <c r="S41" s="2">
        <f>S40+Tabla32037[[#This Row],[Incremento]]</f>
        <v>106247.3125</v>
      </c>
      <c r="T41" s="2">
        <v>1624</v>
      </c>
      <c r="V41" s="12">
        <v>128</v>
      </c>
      <c r="W41" s="2">
        <f>W40+Tabla32037[[#This Row],[Incremento]]</f>
        <v>633942.61494397931</v>
      </c>
      <c r="X41" s="2">
        <v>1624</v>
      </c>
      <c r="Y41" s="2"/>
      <c r="Z41" s="12">
        <v>128</v>
      </c>
      <c r="AA41" s="2">
        <f>AA40+Tabla32037[[#This Row],[Incremento]]</f>
        <v>163111.06790501633</v>
      </c>
      <c r="AB41" s="2">
        <v>1624</v>
      </c>
      <c r="AC41" s="2"/>
      <c r="AD41" s="12">
        <v>128</v>
      </c>
      <c r="AE41" s="2">
        <f>AE40+Tabla32037[[#This Row],[Incremento]]</f>
        <v>280750.13581003266</v>
      </c>
      <c r="AF41" s="2">
        <v>1624</v>
      </c>
      <c r="AH41" s="12">
        <v>128</v>
      </c>
      <c r="AI41" s="2">
        <f>AI40+Tabla32037[[#This Row],[Incremento]]</f>
        <v>280750.13581003266</v>
      </c>
      <c r="AJ41" s="2">
        <v>1624</v>
      </c>
      <c r="AM41" s="35">
        <v>128</v>
      </c>
      <c r="AN41" s="10">
        <f>AN40+Tabla32037[[#This Row],[Incremento]]</f>
        <v>374861.39013404562</v>
      </c>
      <c r="AO41" s="10">
        <v>1624</v>
      </c>
      <c r="AQ41" s="12">
        <v>128</v>
      </c>
      <c r="AR41" s="2">
        <f>AR40+Tabla32037[[#This Row],[Incremento]]</f>
        <v>268986.22901953099</v>
      </c>
      <c r="AS41" s="2">
        <v>1624</v>
      </c>
      <c r="AU41" s="12">
        <v>128</v>
      </c>
      <c r="AV41" s="2">
        <f>AV40+Tabla32037[[#This Row],[Incremento]]</f>
        <v>459757.60438720003</v>
      </c>
      <c r="AW41" s="2">
        <v>1624</v>
      </c>
      <c r="AX41" s="2"/>
      <c r="AY41" s="12">
        <v>128</v>
      </c>
      <c r="AZ41" s="2">
        <f>AZ40+Tabla32037[[#This Row],[Incremento]]</f>
        <v>1653780.9533449123</v>
      </c>
      <c r="BA41" s="2">
        <v>1624</v>
      </c>
      <c r="BC41" s="12">
        <v>128</v>
      </c>
      <c r="BD41" s="2">
        <f>BD40+Tabla32037[[#This Row],[Incremento]]</f>
        <v>183567.2014624</v>
      </c>
      <c r="BE41" s="2">
        <v>1624</v>
      </c>
    </row>
    <row r="42" spans="3:57" ht="17" customHeight="1" x14ac:dyDescent="0.2">
      <c r="C42" s="2"/>
      <c r="D42" s="2"/>
      <c r="F42" s="12">
        <v>129</v>
      </c>
      <c r="G42" s="2">
        <f>G41+Tabla32037[[#This Row],[Incremento]]</f>
        <v>289771.8228125</v>
      </c>
      <c r="H42" s="2">
        <v>1624</v>
      </c>
      <c r="J42" s="12">
        <v>129</v>
      </c>
      <c r="K42" s="2">
        <f>K41+Tabla32037[[#This Row],[Incremento]]</f>
        <v>289771.8228125</v>
      </c>
      <c r="L42" s="2">
        <v>1624</v>
      </c>
      <c r="N42" s="12">
        <v>129</v>
      </c>
      <c r="O42" s="2">
        <f>O41+Tabla32037[[#This Row],[Incremento]]</f>
        <v>203967.72654999999</v>
      </c>
      <c r="P42" s="2">
        <v>1624</v>
      </c>
      <c r="R42" s="12">
        <v>129</v>
      </c>
      <c r="S42" s="2">
        <f>S41+Tabla32037[[#This Row],[Incremento]]</f>
        <v>107871.3125</v>
      </c>
      <c r="T42" s="2">
        <v>1624</v>
      </c>
      <c r="V42" s="12">
        <v>129</v>
      </c>
      <c r="W42" s="2">
        <f>W41+Tabla32037[[#This Row],[Incremento]]</f>
        <v>635566.61494397931</v>
      </c>
      <c r="X42" s="2">
        <v>1624</v>
      </c>
      <c r="Y42" s="2"/>
      <c r="Z42" s="12">
        <v>129</v>
      </c>
      <c r="AA42" s="2">
        <f>AA41+Tabla32037[[#This Row],[Incremento]]</f>
        <v>164735.06790501633</v>
      </c>
      <c r="AB42" s="2">
        <v>1624</v>
      </c>
      <c r="AC42" s="2"/>
      <c r="AD42" s="12">
        <v>129</v>
      </c>
      <c r="AE42" s="2">
        <f>AE41+Tabla32037[[#This Row],[Incremento]]</f>
        <v>282374.13581003266</v>
      </c>
      <c r="AF42" s="2">
        <v>1624</v>
      </c>
      <c r="AH42" s="12">
        <v>129</v>
      </c>
      <c r="AI42" s="2">
        <f>AI41+Tabla32037[[#This Row],[Incremento]]</f>
        <v>282374.13581003266</v>
      </c>
      <c r="AJ42" s="2">
        <v>1624</v>
      </c>
      <c r="AM42" s="34">
        <v>129</v>
      </c>
      <c r="AN42" s="32">
        <f>AN41+Tabla32037[[#This Row],[Incremento]]</f>
        <v>376485.39013404562</v>
      </c>
      <c r="AO42" s="32">
        <v>1624</v>
      </c>
      <c r="AQ42" s="12">
        <v>129</v>
      </c>
      <c r="AR42" s="2">
        <f>AR41+Tabla32037[[#This Row],[Incremento]]</f>
        <v>270610.22901953099</v>
      </c>
      <c r="AS42" s="2">
        <v>1624</v>
      </c>
      <c r="AU42" s="12">
        <v>129</v>
      </c>
      <c r="AV42" s="2">
        <f>AV41+Tabla32037[[#This Row],[Incremento]]</f>
        <v>461381.60438720003</v>
      </c>
      <c r="AW42" s="2">
        <v>1624</v>
      </c>
      <c r="AX42" s="2"/>
      <c r="AY42" s="12">
        <v>129</v>
      </c>
      <c r="AZ42" s="2">
        <f>AZ41+Tabla32037[[#This Row],[Incremento]]</f>
        <v>1655404.9533449123</v>
      </c>
      <c r="BA42" s="2">
        <v>1624</v>
      </c>
      <c r="BC42" s="12">
        <v>129</v>
      </c>
      <c r="BD42" s="2">
        <f>BD41+Tabla32037[[#This Row],[Incremento]]</f>
        <v>185191.2014624</v>
      </c>
      <c r="BE42" s="2">
        <v>1624</v>
      </c>
    </row>
    <row r="43" spans="3:57" ht="17" customHeight="1" x14ac:dyDescent="0.2">
      <c r="C43" s="2"/>
      <c r="D43" s="2"/>
      <c r="F43" s="12">
        <v>130</v>
      </c>
      <c r="G43" s="2">
        <f>G42+Tabla32037[[#This Row],[Incremento]]</f>
        <v>291395.8228125</v>
      </c>
      <c r="H43" s="2">
        <v>1624</v>
      </c>
      <c r="J43" s="12">
        <v>130</v>
      </c>
      <c r="K43" s="2">
        <f>K42+Tabla32037[[#This Row],[Incremento]]</f>
        <v>291395.8228125</v>
      </c>
      <c r="L43" s="2">
        <v>1624</v>
      </c>
      <c r="N43" s="12">
        <v>130</v>
      </c>
      <c r="O43" s="2">
        <f>O42+Tabla32037[[#This Row],[Incremento]]</f>
        <v>205591.72654999999</v>
      </c>
      <c r="P43" s="2">
        <v>1624</v>
      </c>
      <c r="R43" s="12">
        <v>130</v>
      </c>
      <c r="S43" s="2">
        <f>S42+Tabla32037[[#This Row],[Incremento]]</f>
        <v>109495.3125</v>
      </c>
      <c r="T43" s="2">
        <v>1624</v>
      </c>
      <c r="V43" s="12">
        <v>130</v>
      </c>
      <c r="W43" s="2">
        <f>W42+Tabla32037[[#This Row],[Incremento]]</f>
        <v>637190.61494397931</v>
      </c>
      <c r="X43" s="2">
        <v>1624</v>
      </c>
      <c r="Y43" s="2"/>
      <c r="Z43" s="12">
        <v>130</v>
      </c>
      <c r="AA43" s="2">
        <f>AA42+Tabla32037[[#This Row],[Incremento]]</f>
        <v>166359.06790501633</v>
      </c>
      <c r="AB43" s="2">
        <v>1624</v>
      </c>
      <c r="AC43" s="2"/>
      <c r="AD43" s="12">
        <v>130</v>
      </c>
      <c r="AE43" s="2">
        <f>AE42+Tabla32037[[#This Row],[Incremento]]</f>
        <v>283998.13581003266</v>
      </c>
      <c r="AF43" s="2">
        <v>1624</v>
      </c>
      <c r="AH43" s="12">
        <v>130</v>
      </c>
      <c r="AI43" s="2">
        <f>AI42+Tabla32037[[#This Row],[Incremento]]</f>
        <v>283998.13581003266</v>
      </c>
      <c r="AJ43" s="2">
        <v>1624</v>
      </c>
      <c r="AM43" s="35">
        <v>130</v>
      </c>
      <c r="AN43" s="10">
        <f>AN42+Tabla32037[[#This Row],[Incremento]]</f>
        <v>378109.39013404562</v>
      </c>
      <c r="AO43" s="10">
        <v>1624</v>
      </c>
      <c r="AQ43" s="12">
        <v>130</v>
      </c>
      <c r="AR43" s="2">
        <f>AR42+Tabla32037[[#This Row],[Incremento]]</f>
        <v>272234.22901953099</v>
      </c>
      <c r="AS43" s="2">
        <v>1624</v>
      </c>
      <c r="AU43" s="12">
        <v>130</v>
      </c>
      <c r="AV43" s="2">
        <f>AV42+Tabla32037[[#This Row],[Incremento]]</f>
        <v>463005.60438720003</v>
      </c>
      <c r="AW43" s="2">
        <v>1624</v>
      </c>
      <c r="AX43" s="2"/>
      <c r="AY43" s="12">
        <v>130</v>
      </c>
      <c r="AZ43" s="2">
        <f>AZ42+Tabla32037[[#This Row],[Incremento]]</f>
        <v>1657028.9533449123</v>
      </c>
      <c r="BA43" s="2">
        <v>1624</v>
      </c>
      <c r="BC43" s="12">
        <v>130</v>
      </c>
      <c r="BD43" s="2">
        <f>BD42+Tabla32037[[#This Row],[Incremento]]</f>
        <v>186815.2014624</v>
      </c>
      <c r="BE43" s="2">
        <v>1624</v>
      </c>
    </row>
    <row r="44" spans="3:57" ht="17" customHeight="1" x14ac:dyDescent="0.2">
      <c r="C44" s="2"/>
      <c r="D44" s="2"/>
      <c r="F44" s="12">
        <v>131</v>
      </c>
      <c r="G44" s="2">
        <f>G43+Tabla32037[[#This Row],[Incremento]]</f>
        <v>293019.8228125</v>
      </c>
      <c r="H44" s="2">
        <v>1624</v>
      </c>
      <c r="J44" s="12">
        <v>131</v>
      </c>
      <c r="K44" s="2">
        <f>K43+Tabla32037[[#This Row],[Incremento]]</f>
        <v>293019.8228125</v>
      </c>
      <c r="L44" s="2">
        <v>1624</v>
      </c>
      <c r="N44" s="12">
        <v>131</v>
      </c>
      <c r="O44" s="2">
        <f>O43+Tabla32037[[#This Row],[Incremento]]</f>
        <v>207215.72654999999</v>
      </c>
      <c r="P44" s="2">
        <v>1624</v>
      </c>
      <c r="R44" s="12">
        <v>131</v>
      </c>
      <c r="S44" s="2">
        <f>S43+Tabla32037[[#This Row],[Incremento]]</f>
        <v>111119.3125</v>
      </c>
      <c r="T44" s="2">
        <v>1624</v>
      </c>
      <c r="V44" s="12">
        <v>131</v>
      </c>
      <c r="W44" s="2">
        <f>W43+Tabla32037[[#This Row],[Incremento]]</f>
        <v>638814.61494397931</v>
      </c>
      <c r="X44" s="2">
        <v>1624</v>
      </c>
      <c r="Y44" s="2"/>
      <c r="Z44" s="12">
        <v>131</v>
      </c>
      <c r="AA44" s="2">
        <f>AA43+Tabla32037[[#This Row],[Incremento]]</f>
        <v>167983.06790501633</v>
      </c>
      <c r="AB44" s="2">
        <v>1624</v>
      </c>
      <c r="AC44" s="2"/>
      <c r="AD44" s="12">
        <v>131</v>
      </c>
      <c r="AE44" s="2">
        <f>AE43+Tabla32037[[#This Row],[Incremento]]</f>
        <v>285622.13581003266</v>
      </c>
      <c r="AF44" s="2">
        <v>1624</v>
      </c>
      <c r="AH44" s="12">
        <v>131</v>
      </c>
      <c r="AI44" s="2">
        <f>AI43+Tabla32037[[#This Row],[Incremento]]</f>
        <v>285622.13581003266</v>
      </c>
      <c r="AJ44" s="2">
        <v>1624</v>
      </c>
      <c r="AM44" s="34">
        <v>131</v>
      </c>
      <c r="AN44" s="32">
        <f>AN43+Tabla32037[[#This Row],[Incremento]]</f>
        <v>379733.39013404562</v>
      </c>
      <c r="AO44" s="32">
        <v>1624</v>
      </c>
      <c r="AQ44" s="12">
        <v>131</v>
      </c>
      <c r="AR44" s="2">
        <f>AR43+Tabla32037[[#This Row],[Incremento]]</f>
        <v>273858.22901953099</v>
      </c>
      <c r="AS44" s="2">
        <v>1624</v>
      </c>
      <c r="AU44" s="12">
        <v>131</v>
      </c>
      <c r="AV44" s="2">
        <f>AV43+Tabla32037[[#This Row],[Incremento]]</f>
        <v>464629.60438720003</v>
      </c>
      <c r="AW44" s="2">
        <v>1624</v>
      </c>
      <c r="AX44" s="2"/>
      <c r="AY44" s="12">
        <v>131</v>
      </c>
      <c r="AZ44" s="2">
        <f>AZ43+Tabla32037[[#This Row],[Incremento]]</f>
        <v>1658652.9533449123</v>
      </c>
      <c r="BA44" s="2">
        <v>1624</v>
      </c>
      <c r="BC44" s="12">
        <v>131</v>
      </c>
      <c r="BD44" s="2">
        <f>BD43+Tabla32037[[#This Row],[Incremento]]</f>
        <v>188439.2014624</v>
      </c>
      <c r="BE44" s="2">
        <v>1624</v>
      </c>
    </row>
    <row r="45" spans="3:57" ht="17" customHeight="1" x14ac:dyDescent="0.2">
      <c r="C45" s="2"/>
      <c r="D45" s="2"/>
      <c r="F45" s="12">
        <v>132</v>
      </c>
      <c r="G45" s="2">
        <f>G44+Tabla32037[[#This Row],[Incremento]]</f>
        <v>294643.8228125</v>
      </c>
      <c r="H45" s="2">
        <v>1624</v>
      </c>
      <c r="J45" s="12">
        <v>132</v>
      </c>
      <c r="K45" s="2">
        <f>K44+Tabla32037[[#This Row],[Incremento]]</f>
        <v>294643.8228125</v>
      </c>
      <c r="L45" s="2">
        <v>1624</v>
      </c>
      <c r="N45" s="12">
        <v>132</v>
      </c>
      <c r="O45" s="2">
        <f>O44+Tabla32037[[#This Row],[Incremento]]</f>
        <v>208839.72654999999</v>
      </c>
      <c r="P45" s="2">
        <v>1624</v>
      </c>
      <c r="R45" s="12">
        <v>132</v>
      </c>
      <c r="S45" s="2">
        <f>S44+Tabla32037[[#This Row],[Incremento]]</f>
        <v>112743.3125</v>
      </c>
      <c r="T45" s="2">
        <v>1624</v>
      </c>
      <c r="V45" s="12">
        <v>132</v>
      </c>
      <c r="W45" s="2">
        <f>W44+Tabla32037[[#This Row],[Incremento]]</f>
        <v>640438.61494397931</v>
      </c>
      <c r="X45" s="2">
        <v>1624</v>
      </c>
      <c r="Y45" s="2"/>
      <c r="Z45" s="12">
        <v>132</v>
      </c>
      <c r="AA45" s="2">
        <f>AA44+Tabla32037[[#This Row],[Incremento]]</f>
        <v>169607.06790501633</v>
      </c>
      <c r="AB45" s="2">
        <v>1624</v>
      </c>
      <c r="AC45" s="2"/>
      <c r="AD45" s="12">
        <v>132</v>
      </c>
      <c r="AE45" s="2">
        <f>AE44+Tabla32037[[#This Row],[Incremento]]</f>
        <v>287246.13581003266</v>
      </c>
      <c r="AF45" s="2">
        <v>1624</v>
      </c>
      <c r="AH45" s="12">
        <v>132</v>
      </c>
      <c r="AI45" s="2">
        <f>AI44+Tabla32037[[#This Row],[Incremento]]</f>
        <v>287246.13581003266</v>
      </c>
      <c r="AJ45" s="2">
        <v>1624</v>
      </c>
      <c r="AM45" s="35">
        <v>132</v>
      </c>
      <c r="AN45" s="10">
        <f>AN44+Tabla32037[[#This Row],[Incremento]]</f>
        <v>381357.39013404562</v>
      </c>
      <c r="AO45" s="10">
        <v>1624</v>
      </c>
      <c r="AQ45" s="12">
        <v>132</v>
      </c>
      <c r="AR45" s="2">
        <f>AR44+Tabla32037[[#This Row],[Incremento]]</f>
        <v>275482.22901953099</v>
      </c>
      <c r="AS45" s="2">
        <v>1624</v>
      </c>
      <c r="AU45" s="12">
        <v>132</v>
      </c>
      <c r="AV45" s="2">
        <f>AV44+Tabla32037[[#This Row],[Incremento]]</f>
        <v>466253.60438720003</v>
      </c>
      <c r="AW45" s="2">
        <v>1624</v>
      </c>
      <c r="AX45" s="2"/>
      <c r="AY45" s="12">
        <v>132</v>
      </c>
      <c r="AZ45" s="2">
        <f>AZ44+Tabla32037[[#This Row],[Incremento]]</f>
        <v>1660276.9533449123</v>
      </c>
      <c r="BA45" s="2">
        <v>1624</v>
      </c>
      <c r="BC45" s="12">
        <v>132</v>
      </c>
      <c r="BD45" s="2">
        <f>BD44+Tabla32037[[#This Row],[Incremento]]</f>
        <v>190063.2014624</v>
      </c>
      <c r="BE45" s="2">
        <v>1624</v>
      </c>
    </row>
    <row r="46" spans="3:57" ht="17" customHeight="1" x14ac:dyDescent="0.2">
      <c r="C46" s="2"/>
      <c r="D46" s="2"/>
      <c r="F46" s="12">
        <v>133</v>
      </c>
      <c r="G46" s="2">
        <f>G45+Tabla32037[[#This Row],[Incremento]]</f>
        <v>296267.8228125</v>
      </c>
      <c r="H46" s="2">
        <v>1624</v>
      </c>
      <c r="J46" s="12">
        <v>133</v>
      </c>
      <c r="K46" s="2">
        <f>K45+Tabla32037[[#This Row],[Incremento]]</f>
        <v>296267.8228125</v>
      </c>
      <c r="L46" s="2">
        <v>1624</v>
      </c>
      <c r="N46" s="12">
        <v>133</v>
      </c>
      <c r="O46" s="2">
        <f>O45+Tabla32037[[#This Row],[Incremento]]</f>
        <v>210463.72654999999</v>
      </c>
      <c r="P46" s="2">
        <v>1624</v>
      </c>
      <c r="R46" s="12">
        <v>133</v>
      </c>
      <c r="S46" s="2">
        <f>S45+Tabla32037[[#This Row],[Incremento]]</f>
        <v>114367.3125</v>
      </c>
      <c r="T46" s="2">
        <v>1624</v>
      </c>
      <c r="V46" s="12">
        <v>133</v>
      </c>
      <c r="W46" s="2">
        <f>W45+Tabla32037[[#This Row],[Incremento]]</f>
        <v>642062.61494397931</v>
      </c>
      <c r="X46" s="2">
        <v>1624</v>
      </c>
      <c r="Y46" s="2"/>
      <c r="Z46" s="12">
        <v>133</v>
      </c>
      <c r="AA46" s="2">
        <f>AA45+Tabla32037[[#This Row],[Incremento]]</f>
        <v>171231.06790501633</v>
      </c>
      <c r="AB46" s="2">
        <v>1624</v>
      </c>
      <c r="AC46" s="2"/>
      <c r="AD46" s="12">
        <v>133</v>
      </c>
      <c r="AE46" s="2">
        <f>AE45+Tabla32037[[#This Row],[Incremento]]</f>
        <v>288870.13581003266</v>
      </c>
      <c r="AF46" s="2">
        <v>1624</v>
      </c>
      <c r="AH46" s="12">
        <v>133</v>
      </c>
      <c r="AI46" s="2">
        <f>AI45+Tabla32037[[#This Row],[Incremento]]</f>
        <v>288870.13581003266</v>
      </c>
      <c r="AJ46" s="2">
        <v>1624</v>
      </c>
      <c r="AM46" s="34">
        <v>133</v>
      </c>
      <c r="AN46" s="32">
        <f>AN45+Tabla32037[[#This Row],[Incremento]]</f>
        <v>382981.39013404562</v>
      </c>
      <c r="AO46" s="32">
        <v>1624</v>
      </c>
      <c r="AQ46" s="12">
        <v>133</v>
      </c>
      <c r="AR46" s="2">
        <f>AR45+Tabla32037[[#This Row],[Incremento]]</f>
        <v>277106.22901953099</v>
      </c>
      <c r="AS46" s="2">
        <v>1624</v>
      </c>
      <c r="AU46" s="12">
        <v>133</v>
      </c>
      <c r="AV46" s="2">
        <f>AV45+Tabla32037[[#This Row],[Incremento]]</f>
        <v>467877.60438720003</v>
      </c>
      <c r="AW46" s="2">
        <v>1624</v>
      </c>
      <c r="AX46" s="2"/>
      <c r="AY46" s="12">
        <v>133</v>
      </c>
      <c r="AZ46" s="2">
        <f>AZ45+Tabla32037[[#This Row],[Incremento]]</f>
        <v>1661900.9533449123</v>
      </c>
      <c r="BA46" s="2">
        <v>1624</v>
      </c>
      <c r="BC46" s="12">
        <v>133</v>
      </c>
      <c r="BD46" s="2">
        <f>BD45+Tabla32037[[#This Row],[Incremento]]</f>
        <v>191687.2014624</v>
      </c>
      <c r="BE46" s="2">
        <v>1624</v>
      </c>
    </row>
    <row r="47" spans="3:57" ht="17" customHeight="1" x14ac:dyDescent="0.2">
      <c r="C47" s="2"/>
      <c r="D47" s="2"/>
      <c r="F47" s="12">
        <v>134</v>
      </c>
      <c r="G47" s="2">
        <f>G46+Tabla32037[[#This Row],[Incremento]]</f>
        <v>297891.8228125</v>
      </c>
      <c r="H47" s="2">
        <v>1624</v>
      </c>
      <c r="J47" s="12">
        <v>134</v>
      </c>
      <c r="K47" s="2">
        <f>K46+Tabla32037[[#This Row],[Incremento]]</f>
        <v>297891.8228125</v>
      </c>
      <c r="L47" s="2">
        <v>1624</v>
      </c>
      <c r="N47" s="12">
        <v>134</v>
      </c>
      <c r="O47" s="2">
        <f>O46+Tabla32037[[#This Row],[Incremento]]</f>
        <v>212087.72654999999</v>
      </c>
      <c r="P47" s="2">
        <v>1624</v>
      </c>
      <c r="R47" s="12">
        <v>134</v>
      </c>
      <c r="S47" s="2">
        <f>S46+Tabla32037[[#This Row],[Incremento]]</f>
        <v>115991.3125</v>
      </c>
      <c r="T47" s="2">
        <v>1624</v>
      </c>
      <c r="V47" s="12">
        <v>134</v>
      </c>
      <c r="W47" s="2">
        <f>W46+Tabla32037[[#This Row],[Incremento]]</f>
        <v>643686.61494397931</v>
      </c>
      <c r="X47" s="2">
        <v>1624</v>
      </c>
      <c r="Y47" s="2"/>
      <c r="Z47" s="12">
        <v>134</v>
      </c>
      <c r="AA47" s="2">
        <f>AA46+Tabla32037[[#This Row],[Incremento]]</f>
        <v>172855.06790501633</v>
      </c>
      <c r="AB47" s="2">
        <v>1624</v>
      </c>
      <c r="AC47" s="2"/>
      <c r="AD47" s="12">
        <v>134</v>
      </c>
      <c r="AE47" s="2">
        <f>AE46+Tabla32037[[#This Row],[Incremento]]</f>
        <v>290494.13581003266</v>
      </c>
      <c r="AF47" s="2">
        <v>1624</v>
      </c>
      <c r="AH47" s="12">
        <v>134</v>
      </c>
      <c r="AI47" s="2">
        <f>AI46+Tabla32037[[#This Row],[Incremento]]</f>
        <v>290494.13581003266</v>
      </c>
      <c r="AJ47" s="2">
        <v>1624</v>
      </c>
      <c r="AM47" s="35">
        <v>134</v>
      </c>
      <c r="AN47" s="10">
        <f>AN46+Tabla32037[[#This Row],[Incremento]]</f>
        <v>384605.39013404562</v>
      </c>
      <c r="AO47" s="10">
        <v>1624</v>
      </c>
      <c r="AQ47" s="12">
        <v>134</v>
      </c>
      <c r="AR47" s="2">
        <f>AR46+Tabla32037[[#This Row],[Incremento]]</f>
        <v>278730.22901953099</v>
      </c>
      <c r="AS47" s="2">
        <v>1624</v>
      </c>
      <c r="AU47" s="12">
        <v>134</v>
      </c>
      <c r="AV47" s="2">
        <f>AV46+Tabla32037[[#This Row],[Incremento]]</f>
        <v>469501.60438720003</v>
      </c>
      <c r="AW47" s="2">
        <v>1624</v>
      </c>
      <c r="AX47" s="2"/>
      <c r="AY47" s="12">
        <v>134</v>
      </c>
      <c r="AZ47" s="2">
        <f>AZ46+Tabla32037[[#This Row],[Incremento]]</f>
        <v>1663524.9533449123</v>
      </c>
      <c r="BA47" s="2">
        <v>1624</v>
      </c>
      <c r="BC47" s="12">
        <v>134</v>
      </c>
      <c r="BD47" s="2">
        <f>BD46+Tabla32037[[#This Row],[Incremento]]</f>
        <v>193311.2014624</v>
      </c>
      <c r="BE47" s="2">
        <v>1624</v>
      </c>
    </row>
    <row r="48" spans="3:57" ht="17" customHeight="1" x14ac:dyDescent="0.2">
      <c r="C48" s="2"/>
      <c r="D48" s="2"/>
      <c r="F48" s="12">
        <v>135</v>
      </c>
      <c r="G48" s="2">
        <f>G47+Tabla32037[[#This Row],[Incremento]]</f>
        <v>299515.8228125</v>
      </c>
      <c r="H48" s="2">
        <v>1624</v>
      </c>
      <c r="J48" s="12">
        <v>135</v>
      </c>
      <c r="K48" s="2">
        <f>K47+Tabla32037[[#This Row],[Incremento]]</f>
        <v>299515.8228125</v>
      </c>
      <c r="L48" s="2">
        <v>1624</v>
      </c>
      <c r="N48" s="12">
        <v>135</v>
      </c>
      <c r="O48" s="2">
        <f>O47+Tabla32037[[#This Row],[Incremento]]</f>
        <v>213711.72654999999</v>
      </c>
      <c r="P48" s="2">
        <v>1624</v>
      </c>
      <c r="R48" s="12">
        <v>135</v>
      </c>
      <c r="S48" s="2">
        <f>S47+Tabla32037[[#This Row],[Incremento]]</f>
        <v>117615.3125</v>
      </c>
      <c r="T48" s="2">
        <v>1624</v>
      </c>
      <c r="V48" s="12">
        <v>135</v>
      </c>
      <c r="W48" s="2">
        <f>W47+Tabla32037[[#This Row],[Incremento]]</f>
        <v>645310.61494397931</v>
      </c>
      <c r="X48" s="2">
        <v>1624</v>
      </c>
      <c r="Y48" s="2"/>
      <c r="Z48" s="12">
        <v>135</v>
      </c>
      <c r="AA48" s="2">
        <f>AA47+Tabla32037[[#This Row],[Incremento]]</f>
        <v>174479.06790501633</v>
      </c>
      <c r="AB48" s="2">
        <v>1624</v>
      </c>
      <c r="AC48" s="2"/>
      <c r="AD48" s="12">
        <v>135</v>
      </c>
      <c r="AE48" s="2">
        <f>AE47+Tabla32037[[#This Row],[Incremento]]</f>
        <v>292118.13581003266</v>
      </c>
      <c r="AF48" s="2">
        <v>1624</v>
      </c>
      <c r="AH48" s="12">
        <v>135</v>
      </c>
      <c r="AI48" s="2">
        <f>AI47+Tabla32037[[#This Row],[Incremento]]</f>
        <v>292118.13581003266</v>
      </c>
      <c r="AJ48" s="2">
        <v>1624</v>
      </c>
      <c r="AM48" s="34">
        <v>135</v>
      </c>
      <c r="AN48" s="32">
        <f>AN47+Tabla32037[[#This Row],[Incremento]]</f>
        <v>386229.39013404562</v>
      </c>
      <c r="AO48" s="32">
        <v>1624</v>
      </c>
      <c r="AQ48" s="12">
        <v>135</v>
      </c>
      <c r="AR48" s="2">
        <f>AR47+Tabla32037[[#This Row],[Incremento]]</f>
        <v>280354.22901953099</v>
      </c>
      <c r="AS48" s="2">
        <v>1624</v>
      </c>
      <c r="AU48" s="12">
        <v>135</v>
      </c>
      <c r="AV48" s="2">
        <f>AV47+Tabla32037[[#This Row],[Incremento]]</f>
        <v>471125.60438720003</v>
      </c>
      <c r="AW48" s="2">
        <v>1624</v>
      </c>
      <c r="AX48" s="2"/>
      <c r="AY48" s="12">
        <v>135</v>
      </c>
      <c r="AZ48" s="2">
        <f>AZ47+Tabla32037[[#This Row],[Incremento]]</f>
        <v>1665148.9533449123</v>
      </c>
      <c r="BA48" s="2">
        <v>1624</v>
      </c>
      <c r="BC48" s="12">
        <v>135</v>
      </c>
      <c r="BD48" s="2">
        <f>BD47+Tabla32037[[#This Row],[Incremento]]</f>
        <v>194935.2014624</v>
      </c>
      <c r="BE48" s="2">
        <v>1624</v>
      </c>
    </row>
    <row r="49" spans="3:57" ht="17" customHeight="1" x14ac:dyDescent="0.2">
      <c r="C49" s="2"/>
      <c r="D49" s="2"/>
      <c r="E49" s="3"/>
      <c r="F49" s="12">
        <v>136</v>
      </c>
      <c r="G49" s="2">
        <f>G48+Tabla32037[[#This Row],[Incremento]]</f>
        <v>301139.8228125</v>
      </c>
      <c r="H49" s="2">
        <v>1624</v>
      </c>
      <c r="J49" s="12">
        <v>136</v>
      </c>
      <c r="K49" s="2">
        <f>K48+Tabla32037[[#This Row],[Incremento]]</f>
        <v>301139.8228125</v>
      </c>
      <c r="L49" s="2">
        <v>1624</v>
      </c>
      <c r="N49" s="12">
        <v>136</v>
      </c>
      <c r="O49" s="2">
        <f>O48+Tabla32037[[#This Row],[Incremento]]</f>
        <v>215335.72654999999</v>
      </c>
      <c r="P49" s="2">
        <v>1624</v>
      </c>
      <c r="R49" s="12">
        <v>136</v>
      </c>
      <c r="S49" s="2">
        <f>S48+Tabla32037[[#This Row],[Incremento]]</f>
        <v>119239.3125</v>
      </c>
      <c r="T49" s="2">
        <v>1624</v>
      </c>
      <c r="V49" s="12">
        <v>136</v>
      </c>
      <c r="W49" s="2">
        <f>W48+Tabla32037[[#This Row],[Incremento]]</f>
        <v>646934.61494397931</v>
      </c>
      <c r="X49" s="2">
        <v>1624</v>
      </c>
      <c r="Y49" s="2"/>
      <c r="Z49" s="12">
        <v>136</v>
      </c>
      <c r="AA49" s="2">
        <f>AA48+Tabla32037[[#This Row],[Incremento]]</f>
        <v>176103.06790501633</v>
      </c>
      <c r="AB49" s="2">
        <v>1624</v>
      </c>
      <c r="AC49" s="2"/>
      <c r="AD49" s="12">
        <v>136</v>
      </c>
      <c r="AE49" s="2">
        <f>AE48+Tabla32037[[#This Row],[Incremento]]</f>
        <v>293742.13581003266</v>
      </c>
      <c r="AF49" s="2">
        <v>1624</v>
      </c>
      <c r="AH49" s="12">
        <v>136</v>
      </c>
      <c r="AI49" s="2">
        <f>AI48+Tabla32037[[#This Row],[Incremento]]</f>
        <v>293742.13581003266</v>
      </c>
      <c r="AJ49" s="2">
        <v>1624</v>
      </c>
      <c r="AM49" s="35">
        <v>136</v>
      </c>
      <c r="AN49" s="10">
        <f>AN48+Tabla32037[[#This Row],[Incremento]]</f>
        <v>387853.39013404562</v>
      </c>
      <c r="AO49" s="10">
        <v>1624</v>
      </c>
      <c r="AQ49" s="12">
        <v>136</v>
      </c>
      <c r="AR49" s="2">
        <f>AR48+Tabla32037[[#This Row],[Incremento]]</f>
        <v>281978.22901953099</v>
      </c>
      <c r="AS49" s="2">
        <v>1624</v>
      </c>
      <c r="AU49" s="12">
        <v>136</v>
      </c>
      <c r="AV49" s="2">
        <f>AV48+Tabla32037[[#This Row],[Incremento]]</f>
        <v>472749.60438720003</v>
      </c>
      <c r="AW49" s="2">
        <v>1624</v>
      </c>
      <c r="AX49" s="2"/>
      <c r="AY49" s="12">
        <v>136</v>
      </c>
      <c r="AZ49" s="2">
        <f>AZ48+Tabla32037[[#This Row],[Incremento]]</f>
        <v>1666772.9533449123</v>
      </c>
      <c r="BA49" s="2">
        <v>1624</v>
      </c>
      <c r="BC49" s="12">
        <v>136</v>
      </c>
      <c r="BD49" s="2">
        <f>BD48+Tabla32037[[#This Row],[Incremento]]</f>
        <v>196559.2014624</v>
      </c>
      <c r="BE49" s="2">
        <v>1624</v>
      </c>
    </row>
    <row r="50" spans="3:57" ht="17" customHeight="1" x14ac:dyDescent="0.2">
      <c r="C50" s="2"/>
      <c r="D50" s="2"/>
      <c r="E50" s="3"/>
      <c r="F50" s="12">
        <v>137</v>
      </c>
      <c r="G50" s="2">
        <f>G49+Tabla32037[[#This Row],[Incremento]]</f>
        <v>302763.8228125</v>
      </c>
      <c r="H50" s="2">
        <v>1624</v>
      </c>
      <c r="J50" s="12">
        <v>137</v>
      </c>
      <c r="K50" s="2">
        <f>K49+Tabla32037[[#This Row],[Incremento]]</f>
        <v>302763.8228125</v>
      </c>
      <c r="L50" s="2">
        <v>1624</v>
      </c>
      <c r="N50" s="12">
        <v>137</v>
      </c>
      <c r="O50" s="2">
        <f>O49+Tabla32037[[#This Row],[Incremento]]</f>
        <v>216959.72654999999</v>
      </c>
      <c r="P50" s="2">
        <v>1624</v>
      </c>
      <c r="R50" s="12">
        <v>137</v>
      </c>
      <c r="S50" s="2">
        <f>S49+Tabla32037[[#This Row],[Incremento]]</f>
        <v>120863.3125</v>
      </c>
      <c r="T50" s="2">
        <v>1624</v>
      </c>
      <c r="V50" s="12">
        <v>137</v>
      </c>
      <c r="W50" s="2">
        <f>W49+Tabla32037[[#This Row],[Incremento]]</f>
        <v>648558.61494397931</v>
      </c>
      <c r="X50" s="2">
        <v>1624</v>
      </c>
      <c r="Y50" s="2"/>
      <c r="Z50" s="12">
        <v>137</v>
      </c>
      <c r="AA50" s="2">
        <f>AA49+Tabla32037[[#This Row],[Incremento]]</f>
        <v>177727.06790501633</v>
      </c>
      <c r="AB50" s="2">
        <v>1624</v>
      </c>
      <c r="AC50" s="2"/>
      <c r="AD50" s="12">
        <v>137</v>
      </c>
      <c r="AE50" s="2">
        <f>AE49+Tabla32037[[#This Row],[Incremento]]</f>
        <v>295366.13581003266</v>
      </c>
      <c r="AF50" s="2">
        <v>1624</v>
      </c>
      <c r="AH50" s="12">
        <v>137</v>
      </c>
      <c r="AI50" s="2">
        <f>AI49+Tabla32037[[#This Row],[Incremento]]</f>
        <v>295366.13581003266</v>
      </c>
      <c r="AJ50" s="2">
        <v>1624</v>
      </c>
      <c r="AM50" s="34">
        <v>137</v>
      </c>
      <c r="AN50" s="32">
        <f>AN49+Tabla32037[[#This Row],[Incremento]]</f>
        <v>389477.39013404562</v>
      </c>
      <c r="AO50" s="32">
        <v>1624</v>
      </c>
      <c r="AQ50" s="12">
        <v>137</v>
      </c>
      <c r="AR50" s="2">
        <f>AR49+Tabla32037[[#This Row],[Incremento]]</f>
        <v>283602.22901953099</v>
      </c>
      <c r="AS50" s="2">
        <v>1624</v>
      </c>
      <c r="AU50" s="12">
        <v>137</v>
      </c>
      <c r="AV50" s="2">
        <f>AV49+Tabla32037[[#This Row],[Incremento]]</f>
        <v>474373.60438720003</v>
      </c>
      <c r="AW50" s="2">
        <v>1624</v>
      </c>
      <c r="AX50" s="2"/>
      <c r="AY50" s="12">
        <v>137</v>
      </c>
      <c r="AZ50" s="2">
        <f>AZ49+Tabla32037[[#This Row],[Incremento]]</f>
        <v>1668396.9533449123</v>
      </c>
      <c r="BA50" s="2">
        <v>1624</v>
      </c>
      <c r="BC50" s="12">
        <v>137</v>
      </c>
      <c r="BD50" s="2">
        <f>BD49+Tabla32037[[#This Row],[Incremento]]</f>
        <v>198183.2014624</v>
      </c>
      <c r="BE50" s="2">
        <v>1624</v>
      </c>
    </row>
    <row r="51" spans="3:57" ht="17" customHeight="1" x14ac:dyDescent="0.2">
      <c r="C51" s="2"/>
      <c r="D51" s="2"/>
      <c r="E51" s="3"/>
      <c r="F51" s="12">
        <v>138</v>
      </c>
      <c r="G51" s="2">
        <f>G50+Tabla32037[[#This Row],[Incremento]]</f>
        <v>304387.8228125</v>
      </c>
      <c r="H51" s="2">
        <v>1624</v>
      </c>
      <c r="J51" s="12">
        <v>138</v>
      </c>
      <c r="K51" s="2">
        <f>K50+Tabla32037[[#This Row],[Incremento]]</f>
        <v>304387.8228125</v>
      </c>
      <c r="L51" s="2">
        <v>1624</v>
      </c>
      <c r="N51" s="12">
        <v>138</v>
      </c>
      <c r="O51" s="2">
        <f>O50+Tabla32037[[#This Row],[Incremento]]</f>
        <v>218583.72654999999</v>
      </c>
      <c r="P51" s="2">
        <v>1624</v>
      </c>
      <c r="R51" s="12">
        <v>138</v>
      </c>
      <c r="S51" s="2">
        <f>S50+Tabla32037[[#This Row],[Incremento]]</f>
        <v>122487.3125</v>
      </c>
      <c r="T51" s="2">
        <v>1624</v>
      </c>
      <c r="V51" s="12">
        <v>138</v>
      </c>
      <c r="W51" s="2">
        <f>W50+Tabla32037[[#This Row],[Incremento]]</f>
        <v>650182.61494397931</v>
      </c>
      <c r="X51" s="2">
        <v>1624</v>
      </c>
      <c r="Y51" s="2"/>
      <c r="Z51" s="12">
        <v>138</v>
      </c>
      <c r="AA51" s="2">
        <f>AA50+Tabla32037[[#This Row],[Incremento]]</f>
        <v>179351.06790501633</v>
      </c>
      <c r="AB51" s="2">
        <v>1624</v>
      </c>
      <c r="AC51" s="2"/>
      <c r="AD51" s="12">
        <v>138</v>
      </c>
      <c r="AE51" s="2">
        <f>AE50+Tabla32037[[#This Row],[Incremento]]</f>
        <v>296990.13581003266</v>
      </c>
      <c r="AF51" s="2">
        <v>1624</v>
      </c>
      <c r="AH51" s="12">
        <v>138</v>
      </c>
      <c r="AI51" s="2">
        <f>AI50+Tabla32037[[#This Row],[Incremento]]</f>
        <v>296990.13581003266</v>
      </c>
      <c r="AJ51" s="2">
        <v>1624</v>
      </c>
      <c r="AM51" s="35">
        <v>138</v>
      </c>
      <c r="AN51" s="10">
        <f>AN50+Tabla32037[[#This Row],[Incremento]]</f>
        <v>391101.39013404562</v>
      </c>
      <c r="AO51" s="10">
        <v>1624</v>
      </c>
      <c r="AQ51" s="12">
        <v>138</v>
      </c>
      <c r="AR51" s="2">
        <f>AR50+Tabla32037[[#This Row],[Incremento]]</f>
        <v>285226.22901953099</v>
      </c>
      <c r="AS51" s="2">
        <v>1624</v>
      </c>
      <c r="AU51" s="12">
        <v>138</v>
      </c>
      <c r="AV51" s="2">
        <f>AV50+Tabla32037[[#This Row],[Incremento]]</f>
        <v>475997.60438720003</v>
      </c>
      <c r="AW51" s="2">
        <v>1624</v>
      </c>
      <c r="AX51" s="2"/>
      <c r="AY51" s="12">
        <v>138</v>
      </c>
      <c r="AZ51" s="2">
        <f>AZ50+Tabla32037[[#This Row],[Incremento]]</f>
        <v>1670020.9533449123</v>
      </c>
      <c r="BA51" s="2">
        <v>1624</v>
      </c>
      <c r="BC51" s="12">
        <v>138</v>
      </c>
      <c r="BD51" s="2">
        <f>BD50+Tabla32037[[#This Row],[Incremento]]</f>
        <v>199807.2014624</v>
      </c>
      <c r="BE51" s="2">
        <v>1624</v>
      </c>
    </row>
    <row r="52" spans="3:57" ht="17" customHeight="1" x14ac:dyDescent="0.2">
      <c r="C52" s="2"/>
      <c r="D52" s="2"/>
      <c r="E52" s="3"/>
      <c r="F52" s="12">
        <v>139</v>
      </c>
      <c r="G52" s="2">
        <f>G51+Tabla32037[[#This Row],[Incremento]]</f>
        <v>306011.8228125</v>
      </c>
      <c r="H52" s="2">
        <v>1624</v>
      </c>
      <c r="J52" s="12">
        <v>139</v>
      </c>
      <c r="K52" s="2">
        <f>K51+Tabla32037[[#This Row],[Incremento]]</f>
        <v>306011.8228125</v>
      </c>
      <c r="L52" s="2">
        <v>1624</v>
      </c>
      <c r="N52" s="12">
        <v>139</v>
      </c>
      <c r="O52" s="2">
        <f>O51+Tabla32037[[#This Row],[Incremento]]</f>
        <v>220207.72654999999</v>
      </c>
      <c r="P52" s="2">
        <v>1624</v>
      </c>
      <c r="R52" s="12">
        <v>139</v>
      </c>
      <c r="S52" s="2">
        <f>S51+Tabla32037[[#This Row],[Incremento]]</f>
        <v>124111.3125</v>
      </c>
      <c r="T52" s="2">
        <v>1624</v>
      </c>
      <c r="V52" s="12">
        <v>139</v>
      </c>
      <c r="W52" s="2">
        <f>W51+Tabla32037[[#This Row],[Incremento]]</f>
        <v>651806.61494397931</v>
      </c>
      <c r="X52" s="2">
        <v>1624</v>
      </c>
      <c r="Y52" s="2"/>
      <c r="Z52" s="12">
        <v>139</v>
      </c>
      <c r="AA52" s="2">
        <f>AA51+Tabla32037[[#This Row],[Incremento]]</f>
        <v>180975.06790501633</v>
      </c>
      <c r="AB52" s="2">
        <v>1624</v>
      </c>
      <c r="AC52" s="2"/>
      <c r="AD52" s="12">
        <v>139</v>
      </c>
      <c r="AE52" s="2">
        <f>AE51+Tabla32037[[#This Row],[Incremento]]</f>
        <v>298614.13581003266</v>
      </c>
      <c r="AF52" s="2">
        <v>1624</v>
      </c>
      <c r="AH52" s="12">
        <v>139</v>
      </c>
      <c r="AI52" s="2">
        <f>AI51+Tabla32037[[#This Row],[Incremento]]</f>
        <v>298614.13581003266</v>
      </c>
      <c r="AJ52" s="2">
        <v>1624</v>
      </c>
      <c r="AM52" s="34">
        <v>139</v>
      </c>
      <c r="AN52" s="32">
        <f>AN51+Tabla32037[[#This Row],[Incremento]]</f>
        <v>392725.39013404562</v>
      </c>
      <c r="AO52" s="32">
        <v>1624</v>
      </c>
      <c r="AQ52" s="12">
        <v>139</v>
      </c>
      <c r="AR52" s="2">
        <f>AR51+Tabla32037[[#This Row],[Incremento]]</f>
        <v>286850.22901953099</v>
      </c>
      <c r="AS52" s="2">
        <v>1624</v>
      </c>
      <c r="AU52" s="12">
        <v>139</v>
      </c>
      <c r="AV52" s="2">
        <f>AV51+Tabla32037[[#This Row],[Incremento]]</f>
        <v>477621.60438720003</v>
      </c>
      <c r="AW52" s="2">
        <v>1624</v>
      </c>
      <c r="AX52" s="2"/>
      <c r="AY52" s="12">
        <v>139</v>
      </c>
      <c r="AZ52" s="2">
        <f>AZ51+Tabla32037[[#This Row],[Incremento]]</f>
        <v>1671644.9533449123</v>
      </c>
      <c r="BA52" s="2">
        <v>1624</v>
      </c>
      <c r="BC52" s="12">
        <v>139</v>
      </c>
      <c r="BD52" s="2">
        <f>BD51+Tabla32037[[#This Row],[Incremento]]</f>
        <v>201431.2014624</v>
      </c>
      <c r="BE52" s="2">
        <v>1624</v>
      </c>
    </row>
    <row r="53" spans="3:57" ht="17" customHeight="1" x14ac:dyDescent="0.2">
      <c r="C53" s="2"/>
      <c r="D53" s="2"/>
      <c r="E53" s="3"/>
      <c r="F53" s="12">
        <v>140</v>
      </c>
      <c r="G53" s="2">
        <f>G52+Tabla32037[[#This Row],[Incremento]]</f>
        <v>307635.8228125</v>
      </c>
      <c r="H53" s="2">
        <v>1624</v>
      </c>
      <c r="J53" s="12">
        <v>140</v>
      </c>
      <c r="K53" s="2">
        <f>K52+Tabla32037[[#This Row],[Incremento]]</f>
        <v>307635.8228125</v>
      </c>
      <c r="L53" s="2">
        <v>1624</v>
      </c>
      <c r="N53" s="12">
        <v>140</v>
      </c>
      <c r="O53" s="2">
        <f>O52+Tabla32037[[#This Row],[Incremento]]</f>
        <v>221831.72654999999</v>
      </c>
      <c r="P53" s="2">
        <v>1624</v>
      </c>
      <c r="R53" s="12">
        <v>140</v>
      </c>
      <c r="S53" s="2">
        <f>S52+Tabla32037[[#This Row],[Incremento]]</f>
        <v>125735.3125</v>
      </c>
      <c r="T53" s="2">
        <v>1624</v>
      </c>
      <c r="V53" s="12">
        <v>140</v>
      </c>
      <c r="W53" s="2">
        <f>W52+Tabla32037[[#This Row],[Incremento]]</f>
        <v>653430.61494397931</v>
      </c>
      <c r="X53" s="2">
        <v>1624</v>
      </c>
      <c r="Y53" s="2"/>
      <c r="Z53" s="12">
        <v>140</v>
      </c>
      <c r="AA53" s="2">
        <f>AA52+Tabla32037[[#This Row],[Incremento]]</f>
        <v>182599.06790501633</v>
      </c>
      <c r="AB53" s="2">
        <v>1624</v>
      </c>
      <c r="AC53" s="2"/>
      <c r="AD53" s="12">
        <v>140</v>
      </c>
      <c r="AE53" s="2">
        <f>AE52+Tabla32037[[#This Row],[Incremento]]</f>
        <v>300238.13581003266</v>
      </c>
      <c r="AF53" s="2">
        <v>1624</v>
      </c>
      <c r="AH53" s="12">
        <v>140</v>
      </c>
      <c r="AI53" s="2">
        <f>AI52+Tabla32037[[#This Row],[Incremento]]</f>
        <v>300238.13581003266</v>
      </c>
      <c r="AJ53" s="2">
        <v>1624</v>
      </c>
      <c r="AM53" s="35">
        <v>140</v>
      </c>
      <c r="AN53" s="10">
        <f>AN52+Tabla32037[[#This Row],[Incremento]]</f>
        <v>394349.39013404562</v>
      </c>
      <c r="AO53" s="10">
        <v>1624</v>
      </c>
      <c r="AQ53" s="12">
        <v>140</v>
      </c>
      <c r="AR53" s="2">
        <f>AR52+Tabla32037[[#This Row],[Incremento]]</f>
        <v>288474.22901953099</v>
      </c>
      <c r="AS53" s="2">
        <v>1624</v>
      </c>
      <c r="AU53" s="12">
        <v>140</v>
      </c>
      <c r="AV53" s="2">
        <f>AV52+Tabla32037[[#This Row],[Incremento]]</f>
        <v>479245.60438720003</v>
      </c>
      <c r="AW53" s="2">
        <v>1624</v>
      </c>
      <c r="AX53" s="2"/>
      <c r="AY53" s="12">
        <v>140</v>
      </c>
      <c r="AZ53" s="2">
        <f>AZ52+Tabla32037[[#This Row],[Incremento]]</f>
        <v>1673268.9533449123</v>
      </c>
      <c r="BA53" s="2">
        <v>1624</v>
      </c>
      <c r="BC53" s="12">
        <v>140</v>
      </c>
      <c r="BD53" s="2">
        <f>BD52+Tabla32037[[#This Row],[Incremento]]</f>
        <v>203055.2014624</v>
      </c>
      <c r="BE53" s="2">
        <v>1624</v>
      </c>
    </row>
    <row r="54" spans="3:57" ht="17" customHeight="1" x14ac:dyDescent="0.2">
      <c r="C54" s="2"/>
      <c r="D54" s="2"/>
      <c r="F54" s="12">
        <v>141</v>
      </c>
      <c r="G54" s="2">
        <f>G53+Tabla32037[[#This Row],[Incremento]]</f>
        <v>309259.8228125</v>
      </c>
      <c r="H54" s="2">
        <v>1624</v>
      </c>
      <c r="J54" s="12">
        <v>141</v>
      </c>
      <c r="K54" s="2">
        <f>K53+Tabla32037[[#This Row],[Incremento]]</f>
        <v>309259.8228125</v>
      </c>
      <c r="L54" s="2">
        <v>1624</v>
      </c>
      <c r="N54" s="12">
        <v>141</v>
      </c>
      <c r="O54" s="2">
        <f>O53+Tabla32037[[#This Row],[Incremento]]</f>
        <v>223455.72654999999</v>
      </c>
      <c r="P54" s="2">
        <v>1624</v>
      </c>
      <c r="R54" s="12">
        <v>141</v>
      </c>
      <c r="S54" s="2">
        <f>S53+Tabla32037[[#This Row],[Incremento]]</f>
        <v>127359.3125</v>
      </c>
      <c r="T54" s="2">
        <v>1624</v>
      </c>
      <c r="V54" s="12">
        <v>141</v>
      </c>
      <c r="W54" s="2">
        <f>W53+Tabla32037[[#This Row],[Incremento]]</f>
        <v>655054.61494397931</v>
      </c>
      <c r="X54" s="2">
        <v>1624</v>
      </c>
      <c r="Y54" s="2"/>
      <c r="Z54" s="12">
        <v>141</v>
      </c>
      <c r="AA54" s="2">
        <f>AA53+Tabla32037[[#This Row],[Incremento]]</f>
        <v>184223.06790501633</v>
      </c>
      <c r="AB54" s="2">
        <v>1624</v>
      </c>
      <c r="AC54" s="2"/>
      <c r="AD54" s="12">
        <v>141</v>
      </c>
      <c r="AE54" s="2">
        <f>AE53+Tabla32037[[#This Row],[Incremento]]</f>
        <v>301862.13581003266</v>
      </c>
      <c r="AF54" s="2">
        <v>1624</v>
      </c>
      <c r="AH54" s="12">
        <v>141</v>
      </c>
      <c r="AI54" s="2">
        <f>AI53+Tabla32037[[#This Row],[Incremento]]</f>
        <v>301862.13581003266</v>
      </c>
      <c r="AJ54" s="2">
        <v>1624</v>
      </c>
      <c r="AM54" s="34">
        <v>141</v>
      </c>
      <c r="AN54" s="32">
        <f>AN53+Tabla32037[[#This Row],[Incremento]]</f>
        <v>395973.39013404562</v>
      </c>
      <c r="AO54" s="32">
        <v>1624</v>
      </c>
      <c r="AQ54" s="12">
        <v>141</v>
      </c>
      <c r="AR54" s="2">
        <f>AR53+Tabla32037[[#This Row],[Incremento]]</f>
        <v>290098.22901953099</v>
      </c>
      <c r="AS54" s="2">
        <v>1624</v>
      </c>
      <c r="AU54" s="12">
        <v>141</v>
      </c>
      <c r="AV54" s="2">
        <f>AV53+Tabla32037[[#This Row],[Incremento]]</f>
        <v>480869.60438720003</v>
      </c>
      <c r="AW54" s="2">
        <v>1624</v>
      </c>
      <c r="AX54" s="2"/>
      <c r="AY54" s="12">
        <v>141</v>
      </c>
      <c r="AZ54" s="2">
        <f>AZ53+Tabla32037[[#This Row],[Incremento]]</f>
        <v>1674892.9533449123</v>
      </c>
      <c r="BA54" s="2">
        <v>1624</v>
      </c>
      <c r="BC54" s="12">
        <v>141</v>
      </c>
      <c r="BD54" s="2">
        <f>BD53+Tabla32037[[#This Row],[Incremento]]</f>
        <v>204679.2014624</v>
      </c>
      <c r="BE54" s="2">
        <v>1624</v>
      </c>
    </row>
    <row r="55" spans="3:57" ht="17" customHeight="1" x14ac:dyDescent="0.2">
      <c r="C55" s="2"/>
      <c r="D55" s="2"/>
      <c r="F55" s="12">
        <v>142</v>
      </c>
      <c r="G55" s="2">
        <f>G54+Tabla32037[[#This Row],[Incremento]]</f>
        <v>310883.8228125</v>
      </c>
      <c r="H55" s="2">
        <v>1624</v>
      </c>
      <c r="J55" s="12">
        <v>142</v>
      </c>
      <c r="K55" s="2">
        <f>K54+Tabla32037[[#This Row],[Incremento]]</f>
        <v>310883.8228125</v>
      </c>
      <c r="L55" s="2">
        <v>1624</v>
      </c>
      <c r="N55" s="12">
        <v>142</v>
      </c>
      <c r="O55" s="2">
        <f>O54+Tabla32037[[#This Row],[Incremento]]</f>
        <v>225079.72654999999</v>
      </c>
      <c r="P55" s="2">
        <v>1624</v>
      </c>
      <c r="R55" s="12">
        <v>142</v>
      </c>
      <c r="S55" s="2">
        <f>S54+Tabla32037[[#This Row],[Incremento]]</f>
        <v>128983.3125</v>
      </c>
      <c r="T55" s="2">
        <v>1624</v>
      </c>
      <c r="V55" s="12">
        <v>142</v>
      </c>
      <c r="W55" s="2">
        <f>W54+Tabla32037[[#This Row],[Incremento]]</f>
        <v>656678.61494397931</v>
      </c>
      <c r="X55" s="2">
        <v>1624</v>
      </c>
      <c r="Y55" s="2"/>
      <c r="Z55" s="12">
        <v>142</v>
      </c>
      <c r="AA55" s="2">
        <f>AA54+Tabla32037[[#This Row],[Incremento]]</f>
        <v>185847.06790501633</v>
      </c>
      <c r="AB55" s="2">
        <v>1624</v>
      </c>
      <c r="AC55" s="2"/>
      <c r="AD55" s="12">
        <v>142</v>
      </c>
      <c r="AE55" s="2">
        <f>AE54+Tabla32037[[#This Row],[Incremento]]</f>
        <v>303486.13581003266</v>
      </c>
      <c r="AF55" s="2">
        <v>1624</v>
      </c>
      <c r="AH55" s="12">
        <v>142</v>
      </c>
      <c r="AI55" s="2">
        <f>AI54+Tabla32037[[#This Row],[Incremento]]</f>
        <v>303486.13581003266</v>
      </c>
      <c r="AJ55" s="2">
        <v>1624</v>
      </c>
      <c r="AM55" s="35">
        <v>142</v>
      </c>
      <c r="AN55" s="10">
        <f>AN54+Tabla32037[[#This Row],[Incremento]]</f>
        <v>397597.39013404562</v>
      </c>
      <c r="AO55" s="10">
        <v>1624</v>
      </c>
      <c r="AQ55" s="12">
        <v>142</v>
      </c>
      <c r="AR55" s="2">
        <f>AR54+Tabla32037[[#This Row],[Incremento]]</f>
        <v>291722.22901953099</v>
      </c>
      <c r="AS55" s="2">
        <v>1624</v>
      </c>
      <c r="AU55" s="12">
        <v>142</v>
      </c>
      <c r="AV55" s="2">
        <f>AV54+Tabla32037[[#This Row],[Incremento]]</f>
        <v>482493.60438720003</v>
      </c>
      <c r="AW55" s="2">
        <v>1624</v>
      </c>
      <c r="AX55" s="2"/>
      <c r="AY55" s="12">
        <v>142</v>
      </c>
      <c r="AZ55" s="2">
        <f>AZ54+Tabla32037[[#This Row],[Incremento]]</f>
        <v>1676516.9533449123</v>
      </c>
      <c r="BA55" s="2">
        <v>1624</v>
      </c>
      <c r="BC55" s="12">
        <v>142</v>
      </c>
      <c r="BD55" s="2">
        <f>BD54+Tabla32037[[#This Row],[Incremento]]</f>
        <v>206303.2014624</v>
      </c>
      <c r="BE55" s="2">
        <v>1624</v>
      </c>
    </row>
    <row r="56" spans="3:57" ht="17" customHeight="1" x14ac:dyDescent="0.2">
      <c r="C56" s="2"/>
      <c r="D56" s="2"/>
      <c r="F56" s="12">
        <v>143</v>
      </c>
      <c r="G56" s="2">
        <f>G55+Tabla32037[[#This Row],[Incremento]]</f>
        <v>312507.8228125</v>
      </c>
      <c r="H56" s="2">
        <v>1624</v>
      </c>
      <c r="J56" s="12">
        <v>143</v>
      </c>
      <c r="K56" s="2">
        <f>K55+Tabla32037[[#This Row],[Incremento]]</f>
        <v>312507.8228125</v>
      </c>
      <c r="L56" s="2">
        <v>1624</v>
      </c>
      <c r="N56" s="12">
        <v>143</v>
      </c>
      <c r="O56" s="2">
        <f>O55+Tabla32037[[#This Row],[Incremento]]</f>
        <v>226703.72654999999</v>
      </c>
      <c r="P56" s="2">
        <v>1624</v>
      </c>
      <c r="R56" s="12">
        <v>143</v>
      </c>
      <c r="S56" s="2">
        <f>S55+Tabla32037[[#This Row],[Incremento]]</f>
        <v>130607.3125</v>
      </c>
      <c r="T56" s="2">
        <v>1624</v>
      </c>
      <c r="V56" s="12">
        <v>143</v>
      </c>
      <c r="W56" s="2">
        <f>W55+Tabla32037[[#This Row],[Incremento]]</f>
        <v>658302.61494397931</v>
      </c>
      <c r="X56" s="2">
        <v>1624</v>
      </c>
      <c r="Y56" s="2"/>
      <c r="Z56" s="12">
        <v>143</v>
      </c>
      <c r="AA56" s="2">
        <f>AA55+Tabla32037[[#This Row],[Incremento]]</f>
        <v>187471.06790501633</v>
      </c>
      <c r="AB56" s="2">
        <v>1624</v>
      </c>
      <c r="AC56" s="2"/>
      <c r="AD56" s="12">
        <v>143</v>
      </c>
      <c r="AE56" s="2">
        <f>AE55+Tabla32037[[#This Row],[Incremento]]</f>
        <v>305110.13581003266</v>
      </c>
      <c r="AF56" s="2">
        <v>1624</v>
      </c>
      <c r="AH56" s="12">
        <v>143</v>
      </c>
      <c r="AI56" s="2">
        <f>AI55+Tabla32037[[#This Row],[Incremento]]</f>
        <v>305110.13581003266</v>
      </c>
      <c r="AJ56" s="2">
        <v>1624</v>
      </c>
      <c r="AM56" s="34">
        <v>143</v>
      </c>
      <c r="AN56" s="32">
        <f>AN55+Tabla32037[[#This Row],[Incremento]]</f>
        <v>399221.39013404562</v>
      </c>
      <c r="AO56" s="32">
        <v>1624</v>
      </c>
      <c r="AQ56" s="12">
        <v>143</v>
      </c>
      <c r="AR56" s="2">
        <f>AR55+Tabla32037[[#This Row],[Incremento]]</f>
        <v>293346.22901953099</v>
      </c>
      <c r="AS56" s="2">
        <v>1624</v>
      </c>
      <c r="AU56" s="12">
        <v>143</v>
      </c>
      <c r="AV56" s="2">
        <f>AV55+Tabla32037[[#This Row],[Incremento]]</f>
        <v>484117.60438720003</v>
      </c>
      <c r="AW56" s="2">
        <v>1624</v>
      </c>
      <c r="AX56" s="2"/>
      <c r="AY56" s="12">
        <v>143</v>
      </c>
      <c r="AZ56" s="2">
        <f>AZ55+Tabla32037[[#This Row],[Incremento]]</f>
        <v>1678140.9533449123</v>
      </c>
      <c r="BA56" s="2">
        <v>1624</v>
      </c>
      <c r="BC56" s="12">
        <v>143</v>
      </c>
      <c r="BD56" s="2">
        <f>BD55+Tabla32037[[#This Row],[Incremento]]</f>
        <v>207927.2014624</v>
      </c>
      <c r="BE56" s="2">
        <v>1624</v>
      </c>
    </row>
    <row r="57" spans="3:57" ht="17" customHeight="1" x14ac:dyDescent="0.2">
      <c r="C57" s="2"/>
      <c r="D57" s="2"/>
      <c r="F57" s="12">
        <v>144</v>
      </c>
      <c r="G57" s="2">
        <f>G56+Tabla32037[[#This Row],[Incremento]]</f>
        <v>314131.8228125</v>
      </c>
      <c r="H57" s="2">
        <v>1624</v>
      </c>
      <c r="J57" s="12">
        <v>144</v>
      </c>
      <c r="K57" s="2">
        <f>K56+Tabla32037[[#This Row],[Incremento]]</f>
        <v>314131.8228125</v>
      </c>
      <c r="L57" s="2">
        <v>1624</v>
      </c>
      <c r="N57" s="12">
        <v>144</v>
      </c>
      <c r="O57" s="2">
        <f>O56+Tabla32037[[#This Row],[Incremento]]</f>
        <v>228327.72654999999</v>
      </c>
      <c r="P57" s="2">
        <v>1624</v>
      </c>
      <c r="R57" s="12">
        <v>144</v>
      </c>
      <c r="S57" s="2">
        <f>S56+Tabla32037[[#This Row],[Incremento]]</f>
        <v>132231.3125</v>
      </c>
      <c r="T57" s="2">
        <v>1624</v>
      </c>
      <c r="V57" s="12">
        <v>144</v>
      </c>
      <c r="W57" s="2">
        <f>W56+Tabla32037[[#This Row],[Incremento]]</f>
        <v>659926.61494397931</v>
      </c>
      <c r="X57" s="2">
        <v>1624</v>
      </c>
      <c r="Y57" s="2"/>
      <c r="Z57" s="12">
        <v>144</v>
      </c>
      <c r="AA57" s="2">
        <f>AA56+Tabla32037[[#This Row],[Incremento]]</f>
        <v>189095.06790501633</v>
      </c>
      <c r="AB57" s="2">
        <v>1624</v>
      </c>
      <c r="AC57" s="2"/>
      <c r="AD57" s="12">
        <v>144</v>
      </c>
      <c r="AE57" s="2">
        <f>AE56+Tabla32037[[#This Row],[Incremento]]</f>
        <v>306734.13581003266</v>
      </c>
      <c r="AF57" s="2">
        <v>1624</v>
      </c>
      <c r="AH57" s="12">
        <v>144</v>
      </c>
      <c r="AI57" s="2">
        <f>AI56+Tabla32037[[#This Row],[Incremento]]</f>
        <v>306734.13581003266</v>
      </c>
      <c r="AJ57" s="2">
        <v>1624</v>
      </c>
      <c r="AM57" s="35">
        <v>144</v>
      </c>
      <c r="AN57" s="10">
        <f>AN56+Tabla32037[[#This Row],[Incremento]]</f>
        <v>400845.39013404562</v>
      </c>
      <c r="AO57" s="10">
        <v>1624</v>
      </c>
      <c r="AQ57" s="12">
        <v>144</v>
      </c>
      <c r="AR57" s="2">
        <f>AR56+Tabla32037[[#This Row],[Incremento]]</f>
        <v>294970.22901953099</v>
      </c>
      <c r="AS57" s="2">
        <v>1624</v>
      </c>
      <c r="AU57" s="12">
        <v>144</v>
      </c>
      <c r="AV57" s="2">
        <f>AV56+Tabla32037[[#This Row],[Incremento]]</f>
        <v>485741.60438720003</v>
      </c>
      <c r="AW57" s="2">
        <v>1624</v>
      </c>
      <c r="AX57" s="2"/>
      <c r="AY57" s="12">
        <v>144</v>
      </c>
      <c r="AZ57" s="2">
        <f>AZ56+Tabla32037[[#This Row],[Incremento]]</f>
        <v>1679764.9533449123</v>
      </c>
      <c r="BA57" s="2">
        <v>1624</v>
      </c>
      <c r="BC57" s="12">
        <v>144</v>
      </c>
      <c r="BD57" s="2">
        <f>BD56+Tabla32037[[#This Row],[Incremento]]</f>
        <v>209551.2014624</v>
      </c>
      <c r="BE57" s="2">
        <v>1624</v>
      </c>
    </row>
    <row r="58" spans="3:57" ht="17" customHeight="1" x14ac:dyDescent="0.2">
      <c r="C58" s="2"/>
      <c r="D58" s="2"/>
      <c r="F58" s="12">
        <v>145</v>
      </c>
      <c r="G58" s="2">
        <f>G57+Tabla32037[[#This Row],[Incremento]]</f>
        <v>315755.8228125</v>
      </c>
      <c r="H58" s="2">
        <v>1624</v>
      </c>
      <c r="J58" s="12">
        <v>145</v>
      </c>
      <c r="K58" s="2">
        <f>K57+Tabla32037[[#This Row],[Incremento]]</f>
        <v>315755.8228125</v>
      </c>
      <c r="L58" s="2">
        <v>1624</v>
      </c>
      <c r="N58" s="12">
        <v>145</v>
      </c>
      <c r="O58" s="2">
        <f>O57+Tabla32037[[#This Row],[Incremento]]</f>
        <v>229951.72654999999</v>
      </c>
      <c r="P58" s="2">
        <v>1624</v>
      </c>
      <c r="R58" s="12">
        <v>145</v>
      </c>
      <c r="S58" s="2">
        <f>S57+Tabla32037[[#This Row],[Incremento]]</f>
        <v>133855.3125</v>
      </c>
      <c r="T58" s="2">
        <v>1624</v>
      </c>
      <c r="V58" s="12">
        <v>145</v>
      </c>
      <c r="W58" s="2">
        <f>W57+Tabla32037[[#This Row],[Incremento]]</f>
        <v>661550.61494397931</v>
      </c>
      <c r="X58" s="2">
        <v>1624</v>
      </c>
      <c r="Y58" s="2"/>
      <c r="Z58" s="12">
        <v>145</v>
      </c>
      <c r="AA58" s="2">
        <f>AA57+Tabla32037[[#This Row],[Incremento]]</f>
        <v>190719.06790501633</v>
      </c>
      <c r="AB58" s="2">
        <v>1624</v>
      </c>
      <c r="AC58" s="2"/>
      <c r="AD58" s="12">
        <v>145</v>
      </c>
      <c r="AE58" s="2">
        <f>AE57+Tabla32037[[#This Row],[Incremento]]</f>
        <v>308358.13581003266</v>
      </c>
      <c r="AF58" s="2">
        <v>1624</v>
      </c>
      <c r="AH58" s="12">
        <v>145</v>
      </c>
      <c r="AI58" s="2">
        <f>AI57+Tabla32037[[#This Row],[Incremento]]</f>
        <v>308358.13581003266</v>
      </c>
      <c r="AJ58" s="2">
        <v>1624</v>
      </c>
      <c r="AM58" s="34">
        <v>145</v>
      </c>
      <c r="AN58" s="32">
        <f>AN57+Tabla32037[[#This Row],[Incremento]]</f>
        <v>402469.39013404562</v>
      </c>
      <c r="AO58" s="32">
        <v>1624</v>
      </c>
      <c r="AQ58" s="12">
        <v>145</v>
      </c>
      <c r="AR58" s="2">
        <f>AR57+Tabla32037[[#This Row],[Incremento]]</f>
        <v>296594.22901953099</v>
      </c>
      <c r="AS58" s="2">
        <v>1624</v>
      </c>
      <c r="AU58" s="12">
        <v>145</v>
      </c>
      <c r="AV58" s="2">
        <f>AV57+Tabla32037[[#This Row],[Incremento]]</f>
        <v>487365.60438720003</v>
      </c>
      <c r="AW58" s="2">
        <v>1624</v>
      </c>
      <c r="AX58" s="2"/>
      <c r="AY58" s="12">
        <v>145</v>
      </c>
      <c r="AZ58" s="2">
        <f>AZ57+Tabla32037[[#This Row],[Incremento]]</f>
        <v>1681388.9533449123</v>
      </c>
      <c r="BA58" s="2">
        <v>1624</v>
      </c>
      <c r="BC58" s="12">
        <v>145</v>
      </c>
      <c r="BD58" s="2">
        <f>BD57+Tabla32037[[#This Row],[Incremento]]</f>
        <v>211175.2014624</v>
      </c>
      <c r="BE58" s="2">
        <v>1624</v>
      </c>
    </row>
    <row r="59" spans="3:57" ht="17" customHeight="1" x14ac:dyDescent="0.2">
      <c r="C59" s="2"/>
      <c r="D59" s="2"/>
      <c r="F59" s="12">
        <v>146</v>
      </c>
      <c r="G59" s="2">
        <f>G58+Tabla32037[[#This Row],[Incremento]]</f>
        <v>317379.8228125</v>
      </c>
      <c r="H59" s="2">
        <v>1624</v>
      </c>
      <c r="J59" s="12">
        <v>146</v>
      </c>
      <c r="K59" s="2">
        <f>K58+Tabla32037[[#This Row],[Incremento]]</f>
        <v>317379.8228125</v>
      </c>
      <c r="L59" s="2">
        <v>1624</v>
      </c>
      <c r="N59" s="12">
        <v>146</v>
      </c>
      <c r="O59" s="2">
        <f>O58+Tabla32037[[#This Row],[Incremento]]</f>
        <v>231575.72654999999</v>
      </c>
      <c r="P59" s="2">
        <v>1624</v>
      </c>
      <c r="R59" s="12">
        <v>146</v>
      </c>
      <c r="S59" s="2">
        <f>S58+Tabla32037[[#This Row],[Incremento]]</f>
        <v>135479.3125</v>
      </c>
      <c r="T59" s="2">
        <v>1624</v>
      </c>
      <c r="V59" s="12">
        <v>146</v>
      </c>
      <c r="W59" s="2">
        <f>W58+Tabla32037[[#This Row],[Incremento]]</f>
        <v>663174.61494397931</v>
      </c>
      <c r="X59" s="2">
        <v>1624</v>
      </c>
      <c r="Y59" s="2"/>
      <c r="Z59" s="12">
        <v>146</v>
      </c>
      <c r="AA59" s="2">
        <f>AA58+Tabla32037[[#This Row],[Incremento]]</f>
        <v>192343.06790501633</v>
      </c>
      <c r="AB59" s="2">
        <v>1624</v>
      </c>
      <c r="AC59" s="2"/>
      <c r="AD59" s="12">
        <v>146</v>
      </c>
      <c r="AE59" s="2">
        <f>AE58+Tabla32037[[#This Row],[Incremento]]</f>
        <v>309982.13581003266</v>
      </c>
      <c r="AF59" s="2">
        <v>1624</v>
      </c>
      <c r="AH59" s="12">
        <v>146</v>
      </c>
      <c r="AI59" s="2">
        <f>AI58+Tabla32037[[#This Row],[Incremento]]</f>
        <v>309982.13581003266</v>
      </c>
      <c r="AJ59" s="2">
        <v>1624</v>
      </c>
      <c r="AM59" s="35">
        <v>146</v>
      </c>
      <c r="AN59" s="10">
        <f>AN58+Tabla32037[[#This Row],[Incremento]]</f>
        <v>404093.39013404562</v>
      </c>
      <c r="AO59" s="10">
        <v>1624</v>
      </c>
      <c r="AQ59" s="12">
        <v>146</v>
      </c>
      <c r="AR59" s="2">
        <f>AR58+Tabla32037[[#This Row],[Incremento]]</f>
        <v>298218.22901953099</v>
      </c>
      <c r="AS59" s="2">
        <v>1624</v>
      </c>
      <c r="AU59" s="12">
        <v>146</v>
      </c>
      <c r="AV59" s="2">
        <f>AV58+Tabla32037[[#This Row],[Incremento]]</f>
        <v>488989.60438720003</v>
      </c>
      <c r="AW59" s="2">
        <v>1624</v>
      </c>
      <c r="AX59" s="2"/>
      <c r="AY59" s="12">
        <v>146</v>
      </c>
      <c r="AZ59" s="2">
        <f>AZ58+Tabla32037[[#This Row],[Incremento]]</f>
        <v>1683012.9533449123</v>
      </c>
      <c r="BA59" s="2">
        <v>1624</v>
      </c>
      <c r="BC59" s="12">
        <v>146</v>
      </c>
      <c r="BD59" s="2">
        <f>BD58+Tabla32037[[#This Row],[Incremento]]</f>
        <v>212799.2014624</v>
      </c>
      <c r="BE59" s="2">
        <v>1624</v>
      </c>
    </row>
    <row r="60" spans="3:57" ht="17" customHeight="1" x14ac:dyDescent="0.2">
      <c r="C60" s="2"/>
      <c r="D60" s="2"/>
      <c r="F60" s="12">
        <v>147</v>
      </c>
      <c r="G60" s="2">
        <f>G59+Tabla32037[[#This Row],[Incremento]]</f>
        <v>319003.8228125</v>
      </c>
      <c r="H60" s="2">
        <v>1624</v>
      </c>
      <c r="J60" s="12">
        <v>147</v>
      </c>
      <c r="K60" s="2">
        <f>K59+Tabla32037[[#This Row],[Incremento]]</f>
        <v>319003.8228125</v>
      </c>
      <c r="L60" s="2">
        <v>1624</v>
      </c>
      <c r="N60" s="12">
        <v>147</v>
      </c>
      <c r="O60" s="2">
        <f>O59+Tabla32037[[#This Row],[Incremento]]</f>
        <v>233199.72654999999</v>
      </c>
      <c r="P60" s="2">
        <v>1624</v>
      </c>
      <c r="R60" s="12">
        <v>147</v>
      </c>
      <c r="S60" s="2">
        <f>S59+Tabla32037[[#This Row],[Incremento]]</f>
        <v>137103.3125</v>
      </c>
      <c r="T60" s="2">
        <v>1624</v>
      </c>
      <c r="V60" s="12">
        <v>147</v>
      </c>
      <c r="W60" s="2">
        <f>W59+Tabla32037[[#This Row],[Incremento]]</f>
        <v>664798.61494397931</v>
      </c>
      <c r="X60" s="2">
        <v>1624</v>
      </c>
      <c r="Y60" s="2"/>
      <c r="Z60" s="12">
        <v>147</v>
      </c>
      <c r="AA60" s="2">
        <f>AA59+Tabla32037[[#This Row],[Incremento]]</f>
        <v>193967.06790501633</v>
      </c>
      <c r="AB60" s="2">
        <v>1624</v>
      </c>
      <c r="AC60" s="2"/>
      <c r="AD60" s="12">
        <v>147</v>
      </c>
      <c r="AE60" s="2">
        <f>AE59+Tabla32037[[#This Row],[Incremento]]</f>
        <v>311606.13581003266</v>
      </c>
      <c r="AF60" s="2">
        <v>1624</v>
      </c>
      <c r="AH60" s="12">
        <v>147</v>
      </c>
      <c r="AI60" s="2">
        <f>AI59+Tabla32037[[#This Row],[Incremento]]</f>
        <v>311606.13581003266</v>
      </c>
      <c r="AJ60" s="2">
        <v>1624</v>
      </c>
      <c r="AM60" s="34">
        <v>147</v>
      </c>
      <c r="AN60" s="32">
        <f>AN59+Tabla32037[[#This Row],[Incremento]]</f>
        <v>405717.39013404562</v>
      </c>
      <c r="AO60" s="32">
        <v>1624</v>
      </c>
      <c r="AQ60" s="12">
        <v>147</v>
      </c>
      <c r="AR60" s="2">
        <f>AR59+Tabla32037[[#This Row],[Incremento]]</f>
        <v>299842.22901953099</v>
      </c>
      <c r="AS60" s="2">
        <v>1624</v>
      </c>
      <c r="AU60" s="12">
        <v>147</v>
      </c>
      <c r="AV60" s="2">
        <f>AV59+Tabla32037[[#This Row],[Incremento]]</f>
        <v>490613.60438720003</v>
      </c>
      <c r="AW60" s="2">
        <v>1624</v>
      </c>
      <c r="AX60" s="2"/>
      <c r="AY60" s="12">
        <v>147</v>
      </c>
      <c r="AZ60" s="2">
        <f>AZ59+Tabla32037[[#This Row],[Incremento]]</f>
        <v>1684636.9533449123</v>
      </c>
      <c r="BA60" s="2">
        <v>1624</v>
      </c>
      <c r="BC60" s="12">
        <v>147</v>
      </c>
      <c r="BD60" s="2">
        <f>BD59+Tabla32037[[#This Row],[Incremento]]</f>
        <v>214423.2014624</v>
      </c>
      <c r="BE60" s="2">
        <v>1624</v>
      </c>
    </row>
    <row r="61" spans="3:57" ht="17" customHeight="1" x14ac:dyDescent="0.2">
      <c r="C61" s="2"/>
      <c r="D61" s="2"/>
      <c r="F61" s="12">
        <v>148</v>
      </c>
      <c r="G61" s="2">
        <f>G60+Tabla32037[[#This Row],[Incremento]]</f>
        <v>320627.8228125</v>
      </c>
      <c r="H61" s="2">
        <v>1624</v>
      </c>
      <c r="J61" s="12">
        <v>148</v>
      </c>
      <c r="K61" s="2">
        <f>K60+Tabla32037[[#This Row],[Incremento]]</f>
        <v>320627.8228125</v>
      </c>
      <c r="L61" s="2">
        <v>1624</v>
      </c>
      <c r="N61" s="12">
        <v>148</v>
      </c>
      <c r="O61" s="2">
        <f>O60+Tabla32037[[#This Row],[Incremento]]</f>
        <v>234823.72654999999</v>
      </c>
      <c r="P61" s="2">
        <v>1624</v>
      </c>
      <c r="R61" s="12">
        <v>148</v>
      </c>
      <c r="S61" s="2">
        <f>S60+Tabla32037[[#This Row],[Incremento]]</f>
        <v>138727.3125</v>
      </c>
      <c r="T61" s="2">
        <v>1624</v>
      </c>
      <c r="V61" s="12">
        <v>148</v>
      </c>
      <c r="W61" s="2">
        <f>W60+Tabla32037[[#This Row],[Incremento]]</f>
        <v>666422.61494397931</v>
      </c>
      <c r="X61" s="2">
        <v>1624</v>
      </c>
      <c r="Y61" s="2"/>
      <c r="Z61" s="12">
        <v>148</v>
      </c>
      <c r="AA61" s="2">
        <f>AA60+Tabla32037[[#This Row],[Incremento]]</f>
        <v>195591.06790501633</v>
      </c>
      <c r="AB61" s="2">
        <v>1624</v>
      </c>
      <c r="AC61" s="2"/>
      <c r="AD61" s="12">
        <v>148</v>
      </c>
      <c r="AE61" s="2">
        <f>AE60+Tabla32037[[#This Row],[Incremento]]</f>
        <v>313230.13581003266</v>
      </c>
      <c r="AF61" s="2">
        <v>1624</v>
      </c>
      <c r="AH61" s="12">
        <v>148</v>
      </c>
      <c r="AI61" s="2">
        <f>AI60+Tabla32037[[#This Row],[Incremento]]</f>
        <v>313230.13581003266</v>
      </c>
      <c r="AJ61" s="2">
        <v>1624</v>
      </c>
      <c r="AM61" s="35">
        <v>148</v>
      </c>
      <c r="AN61" s="10">
        <f>AN60+Tabla32037[[#This Row],[Incremento]]</f>
        <v>407341.39013404562</v>
      </c>
      <c r="AO61" s="10">
        <v>1624</v>
      </c>
      <c r="AQ61" s="12">
        <v>148</v>
      </c>
      <c r="AR61" s="2">
        <f>AR60+Tabla32037[[#This Row],[Incremento]]</f>
        <v>301466.22901953099</v>
      </c>
      <c r="AS61" s="2">
        <v>1624</v>
      </c>
      <c r="AU61" s="12">
        <v>148</v>
      </c>
      <c r="AV61" s="2">
        <f>AV60+Tabla32037[[#This Row],[Incremento]]</f>
        <v>492237.60438720003</v>
      </c>
      <c r="AW61" s="2">
        <v>1624</v>
      </c>
      <c r="AX61" s="2"/>
      <c r="AY61" s="12">
        <v>148</v>
      </c>
      <c r="AZ61" s="2">
        <f>AZ60+Tabla32037[[#This Row],[Incremento]]</f>
        <v>1686260.9533449123</v>
      </c>
      <c r="BA61" s="2">
        <v>1624</v>
      </c>
      <c r="BC61" s="12">
        <v>148</v>
      </c>
      <c r="BD61" s="2">
        <f>BD60+Tabla32037[[#This Row],[Incremento]]</f>
        <v>216047.2014624</v>
      </c>
      <c r="BE61" s="2">
        <v>1624</v>
      </c>
    </row>
    <row r="62" spans="3:57" ht="17" customHeight="1" x14ac:dyDescent="0.2">
      <c r="C62" s="2"/>
      <c r="D62" s="2"/>
      <c r="F62" s="12">
        <v>149</v>
      </c>
      <c r="G62" s="2">
        <f>G61+Tabla32037[[#This Row],[Incremento]]</f>
        <v>322251.8228125</v>
      </c>
      <c r="H62" s="2">
        <v>1624</v>
      </c>
      <c r="J62" s="12">
        <v>149</v>
      </c>
      <c r="K62" s="2">
        <f>K61+Tabla32037[[#This Row],[Incremento]]</f>
        <v>322251.8228125</v>
      </c>
      <c r="L62" s="2">
        <v>1624</v>
      </c>
      <c r="N62" s="12">
        <v>149</v>
      </c>
      <c r="O62" s="2">
        <f>O61+Tabla32037[[#This Row],[Incremento]]</f>
        <v>236447.72654999999</v>
      </c>
      <c r="P62" s="2">
        <v>1624</v>
      </c>
      <c r="R62" s="12">
        <v>149</v>
      </c>
      <c r="S62" s="2">
        <f>S61+Tabla32037[[#This Row],[Incremento]]</f>
        <v>140351.3125</v>
      </c>
      <c r="T62" s="2">
        <v>1624</v>
      </c>
      <c r="V62" s="12">
        <v>149</v>
      </c>
      <c r="W62" s="2">
        <f>W61+Tabla32037[[#This Row],[Incremento]]</f>
        <v>668046.61494397931</v>
      </c>
      <c r="X62" s="2">
        <v>1624</v>
      </c>
      <c r="Y62" s="2"/>
      <c r="Z62" s="12">
        <v>149</v>
      </c>
      <c r="AA62" s="2">
        <f>AA61+Tabla32037[[#This Row],[Incremento]]</f>
        <v>197215.06790501633</v>
      </c>
      <c r="AB62" s="2">
        <v>1624</v>
      </c>
      <c r="AC62" s="2"/>
      <c r="AD62" s="12">
        <v>149</v>
      </c>
      <c r="AE62" s="2">
        <f>AE61+Tabla32037[[#This Row],[Incremento]]</f>
        <v>314854.13581003266</v>
      </c>
      <c r="AF62" s="2">
        <v>1624</v>
      </c>
      <c r="AH62" s="12">
        <v>149</v>
      </c>
      <c r="AI62" s="2">
        <f>AI61+Tabla32037[[#This Row],[Incremento]]</f>
        <v>314854.13581003266</v>
      </c>
      <c r="AJ62" s="2">
        <v>1624</v>
      </c>
      <c r="AM62" s="34">
        <v>149</v>
      </c>
      <c r="AN62" s="32">
        <f>AN61+Tabla32037[[#This Row],[Incremento]]</f>
        <v>408965.39013404562</v>
      </c>
      <c r="AO62" s="32">
        <v>1624</v>
      </c>
      <c r="AQ62" s="12">
        <v>149</v>
      </c>
      <c r="AR62" s="2">
        <f>AR61+Tabla32037[[#This Row],[Incremento]]</f>
        <v>303090.22901953099</v>
      </c>
      <c r="AS62" s="2">
        <v>1624</v>
      </c>
      <c r="AU62" s="12">
        <v>149</v>
      </c>
      <c r="AV62" s="2">
        <f>AV61+Tabla32037[[#This Row],[Incremento]]</f>
        <v>493861.60438720003</v>
      </c>
      <c r="AW62" s="2">
        <v>1624</v>
      </c>
      <c r="AX62" s="2"/>
      <c r="AY62" s="12">
        <v>149</v>
      </c>
      <c r="AZ62" s="2">
        <f>AZ61+Tabla32037[[#This Row],[Incremento]]</f>
        <v>1687884.9533449123</v>
      </c>
      <c r="BA62" s="2">
        <v>1624</v>
      </c>
      <c r="BC62" s="12">
        <v>149</v>
      </c>
      <c r="BD62" s="2">
        <f>BD61+Tabla32037[[#This Row],[Incremento]]</f>
        <v>217671.2014624</v>
      </c>
      <c r="BE62" s="2">
        <v>1624</v>
      </c>
    </row>
    <row r="63" spans="3:57" ht="17" customHeight="1" x14ac:dyDescent="0.2">
      <c r="C63" s="2"/>
      <c r="D63" s="2"/>
      <c r="F63" s="12">
        <v>150</v>
      </c>
      <c r="G63" s="2">
        <f>G62+Tabla32037[[#This Row],[Incremento]]</f>
        <v>323875.8228125</v>
      </c>
      <c r="H63" s="2">
        <v>1624</v>
      </c>
      <c r="J63" s="12">
        <v>150</v>
      </c>
      <c r="K63" s="2">
        <f>K62+Tabla32037[[#This Row],[Incremento]]</f>
        <v>323875.8228125</v>
      </c>
      <c r="L63" s="2">
        <v>1624</v>
      </c>
      <c r="N63" s="12">
        <v>150</v>
      </c>
      <c r="O63" s="2">
        <f>O62+Tabla32037[[#This Row],[Incremento]]</f>
        <v>238071.72654999999</v>
      </c>
      <c r="P63" s="2">
        <v>1624</v>
      </c>
      <c r="R63" s="12">
        <v>150</v>
      </c>
      <c r="S63" s="2">
        <f>S62+Tabla32037[[#This Row],[Incremento]]</f>
        <v>141975.3125</v>
      </c>
      <c r="T63" s="2">
        <v>1624</v>
      </c>
      <c r="V63" s="12">
        <v>150</v>
      </c>
      <c r="W63" s="2">
        <f>W62+Tabla32037[[#This Row],[Incremento]]</f>
        <v>669670.61494397931</v>
      </c>
      <c r="X63" s="2">
        <v>1624</v>
      </c>
      <c r="Y63" s="2"/>
      <c r="Z63" s="12">
        <v>150</v>
      </c>
      <c r="AA63" s="2">
        <f>AA62+Tabla32037[[#This Row],[Incremento]]</f>
        <v>198839.06790501633</v>
      </c>
      <c r="AB63" s="2">
        <v>1624</v>
      </c>
      <c r="AC63" s="2"/>
      <c r="AD63" s="12">
        <v>150</v>
      </c>
      <c r="AE63" s="2">
        <f>AE62+Tabla32037[[#This Row],[Incremento]]</f>
        <v>316478.13581003266</v>
      </c>
      <c r="AF63" s="2">
        <v>1624</v>
      </c>
      <c r="AH63" s="12">
        <v>150</v>
      </c>
      <c r="AI63" s="2">
        <f>AI62+Tabla32037[[#This Row],[Incremento]]</f>
        <v>316478.13581003266</v>
      </c>
      <c r="AJ63" s="2">
        <v>1624</v>
      </c>
      <c r="AM63" s="35">
        <v>150</v>
      </c>
      <c r="AN63" s="10">
        <f>AN62+Tabla32037[[#This Row],[Incremento]]</f>
        <v>410589.39013404562</v>
      </c>
      <c r="AO63" s="10">
        <v>1624</v>
      </c>
      <c r="AQ63" s="12">
        <v>150</v>
      </c>
      <c r="AR63" s="2">
        <f>AR62+Tabla32037[[#This Row],[Incremento]]</f>
        <v>304714.22901953099</v>
      </c>
      <c r="AS63" s="2">
        <v>1624</v>
      </c>
      <c r="AU63" s="12">
        <v>150</v>
      </c>
      <c r="AV63" s="2">
        <f>AV62+Tabla32037[[#This Row],[Incremento]]</f>
        <v>495485.60438720003</v>
      </c>
      <c r="AW63" s="2">
        <v>1624</v>
      </c>
      <c r="AX63" s="2"/>
      <c r="AY63" s="12">
        <v>150</v>
      </c>
      <c r="AZ63" s="2">
        <f>AZ62+Tabla32037[[#This Row],[Incremento]]</f>
        <v>1689508.9533449123</v>
      </c>
      <c r="BA63" s="2">
        <v>1624</v>
      </c>
      <c r="BC63" s="12">
        <v>150</v>
      </c>
      <c r="BD63" s="2">
        <f>BD62+Tabla32037[[#This Row],[Incremento]]</f>
        <v>219295.2014624</v>
      </c>
      <c r="BE63" s="2">
        <v>1624</v>
      </c>
    </row>
    <row r="64" spans="3:57" ht="17" customHeight="1" x14ac:dyDescent="0.2">
      <c r="C64" s="2"/>
      <c r="D64" s="2"/>
      <c r="F64" s="12">
        <v>151</v>
      </c>
      <c r="G64" s="2">
        <f>G63+Tabla32037[[#This Row],[Incremento]]</f>
        <v>325499.8228125</v>
      </c>
      <c r="H64" s="2">
        <v>1624</v>
      </c>
      <c r="J64" s="12">
        <v>151</v>
      </c>
      <c r="K64" s="2">
        <f>K63+Tabla32037[[#This Row],[Incremento]]</f>
        <v>325499.8228125</v>
      </c>
      <c r="L64" s="2">
        <v>1624</v>
      </c>
      <c r="N64" s="12">
        <v>151</v>
      </c>
      <c r="O64" s="2">
        <f>O63+Tabla32037[[#This Row],[Incremento]]</f>
        <v>239695.72654999999</v>
      </c>
      <c r="P64" s="2">
        <v>1624</v>
      </c>
      <c r="R64" s="12">
        <v>151</v>
      </c>
      <c r="S64" s="2">
        <f>S63+Tabla32037[[#This Row],[Incremento]]</f>
        <v>143599.3125</v>
      </c>
      <c r="T64" s="2">
        <v>1624</v>
      </c>
      <c r="V64" s="12">
        <v>151</v>
      </c>
      <c r="W64" s="2">
        <f>W63+Tabla32037[[#This Row],[Incremento]]</f>
        <v>671294.61494397931</v>
      </c>
      <c r="X64" s="2">
        <v>1624</v>
      </c>
      <c r="Y64" s="2"/>
      <c r="Z64" s="12">
        <v>151</v>
      </c>
      <c r="AA64" s="2">
        <f>AA63+Tabla32037[[#This Row],[Incremento]]</f>
        <v>200463.06790501633</v>
      </c>
      <c r="AB64" s="2">
        <v>1624</v>
      </c>
      <c r="AC64" s="2"/>
      <c r="AD64" s="12">
        <v>151</v>
      </c>
      <c r="AE64" s="2">
        <f>AE63+Tabla32037[[#This Row],[Incremento]]</f>
        <v>318102.13581003266</v>
      </c>
      <c r="AF64" s="2">
        <v>1624</v>
      </c>
      <c r="AH64" s="12">
        <v>151</v>
      </c>
      <c r="AI64" s="2">
        <f>AI63+Tabla32037[[#This Row],[Incremento]]</f>
        <v>318102.13581003266</v>
      </c>
      <c r="AJ64" s="2">
        <v>1624</v>
      </c>
      <c r="AM64" s="34">
        <v>151</v>
      </c>
      <c r="AN64" s="32">
        <f>AN63+Tabla32037[[#This Row],[Incremento]]</f>
        <v>412213.39013404562</v>
      </c>
      <c r="AO64" s="32">
        <v>1624</v>
      </c>
      <c r="AQ64" s="12">
        <v>151</v>
      </c>
      <c r="AR64" s="2">
        <f>AR63+Tabla32037[[#This Row],[Incremento]]</f>
        <v>306338.22901953099</v>
      </c>
      <c r="AS64" s="2">
        <v>1624</v>
      </c>
      <c r="AU64" s="12">
        <v>151</v>
      </c>
      <c r="AV64" s="2">
        <f>AV63+Tabla32037[[#This Row],[Incremento]]</f>
        <v>497109.60438720003</v>
      </c>
      <c r="AW64" s="2">
        <v>1624</v>
      </c>
      <c r="AX64" s="2"/>
      <c r="AY64" s="12">
        <v>151</v>
      </c>
      <c r="AZ64" s="2">
        <f>AZ63+Tabla32037[[#This Row],[Incremento]]</f>
        <v>1691132.9533449123</v>
      </c>
      <c r="BA64" s="2">
        <v>1624</v>
      </c>
      <c r="BC64" s="12">
        <v>151</v>
      </c>
      <c r="BD64" s="2">
        <f>BD63+Tabla32037[[#This Row],[Incremento]]</f>
        <v>220919.2014624</v>
      </c>
      <c r="BE64" s="2">
        <v>1624</v>
      </c>
    </row>
    <row r="65" spans="3:57" ht="17" customHeight="1" x14ac:dyDescent="0.2">
      <c r="C65" s="2"/>
      <c r="D65" s="2"/>
      <c r="F65" s="12">
        <v>152</v>
      </c>
      <c r="G65" s="2">
        <f>G64+Tabla32037[[#This Row],[Incremento]]</f>
        <v>327123.8228125</v>
      </c>
      <c r="H65" s="2">
        <v>1624</v>
      </c>
      <c r="J65" s="12">
        <v>152</v>
      </c>
      <c r="K65" s="2">
        <f>K64+Tabla32037[[#This Row],[Incremento]]</f>
        <v>327123.8228125</v>
      </c>
      <c r="L65" s="2">
        <v>1624</v>
      </c>
      <c r="N65" s="12">
        <v>152</v>
      </c>
      <c r="O65" s="2">
        <f>O64+Tabla32037[[#This Row],[Incremento]]</f>
        <v>241319.72654999999</v>
      </c>
      <c r="P65" s="2">
        <v>1624</v>
      </c>
      <c r="R65" s="12">
        <v>152</v>
      </c>
      <c r="S65" s="2">
        <f>S64+Tabla32037[[#This Row],[Incremento]]</f>
        <v>145223.3125</v>
      </c>
      <c r="T65" s="2">
        <v>1624</v>
      </c>
      <c r="V65" s="12">
        <v>152</v>
      </c>
      <c r="W65" s="2">
        <f>W64+Tabla32037[[#This Row],[Incremento]]</f>
        <v>672918.61494397931</v>
      </c>
      <c r="X65" s="2">
        <v>1624</v>
      </c>
      <c r="Y65" s="2"/>
      <c r="Z65" s="12">
        <v>152</v>
      </c>
      <c r="AA65" s="2">
        <f>AA64+Tabla32037[[#This Row],[Incremento]]</f>
        <v>202087.06790501633</v>
      </c>
      <c r="AB65" s="2">
        <v>1624</v>
      </c>
      <c r="AC65" s="2"/>
      <c r="AD65" s="12">
        <v>152</v>
      </c>
      <c r="AE65" s="2">
        <f>AE64+Tabla32037[[#This Row],[Incremento]]</f>
        <v>319726.13581003266</v>
      </c>
      <c r="AF65" s="2">
        <v>1624</v>
      </c>
      <c r="AH65" s="12">
        <v>152</v>
      </c>
      <c r="AI65" s="2">
        <f>AI64+Tabla32037[[#This Row],[Incremento]]</f>
        <v>319726.13581003266</v>
      </c>
      <c r="AJ65" s="2">
        <v>1624</v>
      </c>
      <c r="AM65" s="35">
        <v>152</v>
      </c>
      <c r="AN65" s="10">
        <f>AN64+Tabla32037[[#This Row],[Incremento]]</f>
        <v>413837.39013404562</v>
      </c>
      <c r="AO65" s="10">
        <v>1624</v>
      </c>
      <c r="AQ65" s="12">
        <v>152</v>
      </c>
      <c r="AR65" s="2">
        <f>AR64+Tabla32037[[#This Row],[Incremento]]</f>
        <v>307962.22901953099</v>
      </c>
      <c r="AS65" s="2">
        <v>1624</v>
      </c>
      <c r="AU65" s="12">
        <v>152</v>
      </c>
      <c r="AV65" s="2">
        <f>AV64+Tabla32037[[#This Row],[Incremento]]</f>
        <v>498733.60438720003</v>
      </c>
      <c r="AW65" s="2">
        <v>1624</v>
      </c>
      <c r="AX65" s="2"/>
      <c r="AY65" s="12">
        <v>152</v>
      </c>
      <c r="AZ65" s="2">
        <f>AZ64+Tabla32037[[#This Row],[Incremento]]</f>
        <v>1692756.9533449123</v>
      </c>
      <c r="BA65" s="2">
        <v>1624</v>
      </c>
      <c r="BC65" s="12">
        <v>152</v>
      </c>
      <c r="BD65" s="2">
        <f>BD64+Tabla32037[[#This Row],[Incremento]]</f>
        <v>222543.2014624</v>
      </c>
      <c r="BE65" s="2">
        <v>1624</v>
      </c>
    </row>
    <row r="66" spans="3:57" ht="17" customHeight="1" x14ac:dyDescent="0.2">
      <c r="C66" s="2"/>
      <c r="D66" s="2"/>
      <c r="F66" s="12">
        <v>153</v>
      </c>
      <c r="G66" s="2">
        <f>G65+Tabla32037[[#This Row],[Incremento]]</f>
        <v>328747.8228125</v>
      </c>
      <c r="H66" s="2">
        <v>1624</v>
      </c>
      <c r="J66" s="12">
        <v>153</v>
      </c>
      <c r="K66" s="2">
        <f>K65+Tabla32037[[#This Row],[Incremento]]</f>
        <v>328747.8228125</v>
      </c>
      <c r="L66" s="2">
        <v>1624</v>
      </c>
      <c r="N66" s="12">
        <v>153</v>
      </c>
      <c r="O66" s="2">
        <f>O65+Tabla32037[[#This Row],[Incremento]]</f>
        <v>242943.72654999999</v>
      </c>
      <c r="P66" s="2">
        <v>1624</v>
      </c>
      <c r="R66" s="12">
        <v>153</v>
      </c>
      <c r="S66" s="2">
        <f>S65+Tabla32037[[#This Row],[Incremento]]</f>
        <v>146847.3125</v>
      </c>
      <c r="T66" s="2">
        <v>1624</v>
      </c>
      <c r="V66" s="12">
        <v>153</v>
      </c>
      <c r="W66" s="2">
        <f>W65+Tabla32037[[#This Row],[Incremento]]</f>
        <v>674542.61494397931</v>
      </c>
      <c r="X66" s="2">
        <v>1624</v>
      </c>
      <c r="Y66" s="2"/>
      <c r="Z66" s="12">
        <v>153</v>
      </c>
      <c r="AA66" s="2">
        <f>AA65+Tabla32037[[#This Row],[Incremento]]</f>
        <v>203711.06790501633</v>
      </c>
      <c r="AB66" s="2">
        <v>1624</v>
      </c>
      <c r="AC66" s="2"/>
      <c r="AD66" s="12">
        <v>153</v>
      </c>
      <c r="AE66" s="2">
        <f>AE65+Tabla32037[[#This Row],[Incremento]]</f>
        <v>321350.13581003266</v>
      </c>
      <c r="AF66" s="2">
        <v>1624</v>
      </c>
      <c r="AH66" s="12">
        <v>153</v>
      </c>
      <c r="AI66" s="2">
        <f>AI65+Tabla32037[[#This Row],[Incremento]]</f>
        <v>321350.13581003266</v>
      </c>
      <c r="AJ66" s="2">
        <v>1624</v>
      </c>
      <c r="AM66" s="34">
        <v>153</v>
      </c>
      <c r="AN66" s="32">
        <f>AN65+Tabla32037[[#This Row],[Incremento]]</f>
        <v>415461.39013404562</v>
      </c>
      <c r="AO66" s="32">
        <v>1624</v>
      </c>
      <c r="AQ66" s="12">
        <v>153</v>
      </c>
      <c r="AR66" s="2">
        <f>AR65+Tabla32037[[#This Row],[Incremento]]</f>
        <v>309586.22901953099</v>
      </c>
      <c r="AS66" s="2">
        <v>1624</v>
      </c>
      <c r="AU66" s="12">
        <v>153</v>
      </c>
      <c r="AV66" s="2">
        <f>AV65+Tabla32037[[#This Row],[Incremento]]</f>
        <v>500357.60438720003</v>
      </c>
      <c r="AW66" s="2">
        <v>1624</v>
      </c>
      <c r="AX66" s="2"/>
      <c r="AY66" s="12">
        <v>153</v>
      </c>
      <c r="AZ66" s="2">
        <f>AZ65+Tabla32037[[#This Row],[Incremento]]</f>
        <v>1694380.9533449123</v>
      </c>
      <c r="BA66" s="2">
        <v>1624</v>
      </c>
      <c r="BC66" s="12">
        <v>153</v>
      </c>
      <c r="BD66" s="2">
        <f>BD65+Tabla32037[[#This Row],[Incremento]]</f>
        <v>224167.2014624</v>
      </c>
      <c r="BE66" s="2">
        <v>1624</v>
      </c>
    </row>
    <row r="67" spans="3:57" ht="17" customHeight="1" x14ac:dyDescent="0.2">
      <c r="C67" s="2"/>
      <c r="D67" s="2"/>
      <c r="F67" s="12">
        <v>154</v>
      </c>
      <c r="G67" s="2">
        <f>G66+Tabla32037[[#This Row],[Incremento]]</f>
        <v>330371.8228125</v>
      </c>
      <c r="H67" s="2">
        <v>1624</v>
      </c>
      <c r="J67" s="12">
        <v>154</v>
      </c>
      <c r="K67" s="2">
        <f>K66+Tabla32037[[#This Row],[Incremento]]</f>
        <v>330371.8228125</v>
      </c>
      <c r="L67" s="2">
        <v>1624</v>
      </c>
      <c r="N67" s="12">
        <v>154</v>
      </c>
      <c r="O67" s="2">
        <f>O66+Tabla32037[[#This Row],[Incremento]]</f>
        <v>244567.72654999999</v>
      </c>
      <c r="P67" s="2">
        <v>1624</v>
      </c>
      <c r="R67" s="12">
        <v>154</v>
      </c>
      <c r="S67" s="2">
        <f>S66+Tabla32037[[#This Row],[Incremento]]</f>
        <v>148471.3125</v>
      </c>
      <c r="T67" s="2">
        <v>1624</v>
      </c>
      <c r="V67" s="12">
        <v>154</v>
      </c>
      <c r="W67" s="2">
        <f>W66+Tabla32037[[#This Row],[Incremento]]</f>
        <v>676166.61494397931</v>
      </c>
      <c r="X67" s="2">
        <v>1624</v>
      </c>
      <c r="Y67" s="2"/>
      <c r="Z67" s="12">
        <v>154</v>
      </c>
      <c r="AA67" s="2">
        <f>AA66+Tabla32037[[#This Row],[Incremento]]</f>
        <v>205335.06790501633</v>
      </c>
      <c r="AB67" s="2">
        <v>1624</v>
      </c>
      <c r="AC67" s="2"/>
      <c r="AD67" s="12">
        <v>154</v>
      </c>
      <c r="AE67" s="2">
        <f>AE66+Tabla32037[[#This Row],[Incremento]]</f>
        <v>322974.13581003266</v>
      </c>
      <c r="AF67" s="2">
        <v>1624</v>
      </c>
      <c r="AH67" s="12">
        <v>154</v>
      </c>
      <c r="AI67" s="2">
        <f>AI66+Tabla32037[[#This Row],[Incremento]]</f>
        <v>322974.13581003266</v>
      </c>
      <c r="AJ67" s="2">
        <v>1624</v>
      </c>
      <c r="AM67" s="35">
        <v>154</v>
      </c>
      <c r="AN67" s="10">
        <f>AN66+Tabla32037[[#This Row],[Incremento]]</f>
        <v>417085.39013404562</v>
      </c>
      <c r="AO67" s="10">
        <v>1624</v>
      </c>
      <c r="AQ67" s="12">
        <v>154</v>
      </c>
      <c r="AR67" s="2">
        <f>AR66+Tabla32037[[#This Row],[Incremento]]</f>
        <v>311210.22901953099</v>
      </c>
      <c r="AS67" s="2">
        <v>1624</v>
      </c>
      <c r="AU67" s="12">
        <v>154</v>
      </c>
      <c r="AV67" s="2">
        <f>AV66+Tabla32037[[#This Row],[Incremento]]</f>
        <v>501981.60438720003</v>
      </c>
      <c r="AW67" s="2">
        <v>1624</v>
      </c>
      <c r="AX67" s="2"/>
      <c r="AY67" s="12">
        <v>154</v>
      </c>
      <c r="AZ67" s="2">
        <f>AZ66+Tabla32037[[#This Row],[Incremento]]</f>
        <v>1696004.9533449123</v>
      </c>
      <c r="BA67" s="2">
        <v>1624</v>
      </c>
      <c r="BC67" s="12">
        <v>154</v>
      </c>
      <c r="BD67" s="2">
        <f>BD66+Tabla32037[[#This Row],[Incremento]]</f>
        <v>225791.2014624</v>
      </c>
      <c r="BE67" s="2">
        <v>1624</v>
      </c>
    </row>
    <row r="68" spans="3:57" ht="17" customHeight="1" x14ac:dyDescent="0.2">
      <c r="C68" s="2"/>
      <c r="D68" s="2"/>
      <c r="F68" s="12">
        <v>155</v>
      </c>
      <c r="G68" s="2">
        <f>G67+Tabla32037[[#This Row],[Incremento]]</f>
        <v>331995.8228125</v>
      </c>
      <c r="H68" s="2">
        <v>1624</v>
      </c>
      <c r="J68" s="12">
        <v>155</v>
      </c>
      <c r="K68" s="2">
        <f>K67+Tabla32037[[#This Row],[Incremento]]</f>
        <v>331995.8228125</v>
      </c>
      <c r="L68" s="2">
        <v>1624</v>
      </c>
      <c r="N68" s="12">
        <v>155</v>
      </c>
      <c r="O68" s="2">
        <f>O67+Tabla32037[[#This Row],[Incremento]]</f>
        <v>246191.72654999999</v>
      </c>
      <c r="P68" s="2">
        <v>1624</v>
      </c>
      <c r="R68" s="12">
        <v>155</v>
      </c>
      <c r="S68" s="2">
        <f>S67+Tabla32037[[#This Row],[Incremento]]</f>
        <v>150095.3125</v>
      </c>
      <c r="T68" s="2">
        <v>1624</v>
      </c>
      <c r="V68" s="12">
        <v>155</v>
      </c>
      <c r="W68" s="2">
        <f>W67+Tabla32037[[#This Row],[Incremento]]</f>
        <v>677790.61494397931</v>
      </c>
      <c r="X68" s="2">
        <v>1624</v>
      </c>
      <c r="Y68" s="2"/>
      <c r="Z68" s="12">
        <v>155</v>
      </c>
      <c r="AA68" s="2">
        <f>AA67+Tabla32037[[#This Row],[Incremento]]</f>
        <v>206959.06790501633</v>
      </c>
      <c r="AB68" s="2">
        <v>1624</v>
      </c>
      <c r="AC68" s="2"/>
      <c r="AD68" s="12">
        <v>155</v>
      </c>
      <c r="AE68" s="2">
        <f>AE67+Tabla32037[[#This Row],[Incremento]]</f>
        <v>324598.13581003266</v>
      </c>
      <c r="AF68" s="2">
        <v>1624</v>
      </c>
      <c r="AH68" s="12">
        <v>155</v>
      </c>
      <c r="AI68" s="2">
        <f>AI67+Tabla32037[[#This Row],[Incremento]]</f>
        <v>324598.13581003266</v>
      </c>
      <c r="AJ68" s="2">
        <v>1624</v>
      </c>
      <c r="AM68" s="34">
        <v>155</v>
      </c>
      <c r="AN68" s="32">
        <f>AN67+Tabla32037[[#This Row],[Incremento]]</f>
        <v>418709.39013404562</v>
      </c>
      <c r="AO68" s="32">
        <v>1624</v>
      </c>
      <c r="AQ68" s="12">
        <v>155</v>
      </c>
      <c r="AR68" s="2">
        <f>AR67+Tabla32037[[#This Row],[Incremento]]</f>
        <v>312834.22901953099</v>
      </c>
      <c r="AS68" s="2">
        <v>1624</v>
      </c>
      <c r="AU68" s="12">
        <v>155</v>
      </c>
      <c r="AV68" s="2">
        <f>AV67+Tabla32037[[#This Row],[Incremento]]</f>
        <v>503605.60438720003</v>
      </c>
      <c r="AW68" s="2">
        <v>1624</v>
      </c>
      <c r="AX68" s="2"/>
      <c r="AY68" s="12">
        <v>155</v>
      </c>
      <c r="AZ68" s="2">
        <f>AZ67+Tabla32037[[#This Row],[Incremento]]</f>
        <v>1697628.9533449123</v>
      </c>
      <c r="BA68" s="2">
        <v>1624</v>
      </c>
      <c r="BC68" s="12">
        <v>155</v>
      </c>
      <c r="BD68" s="2">
        <f>BD67+Tabla32037[[#This Row],[Incremento]]</f>
        <v>227415.2014624</v>
      </c>
      <c r="BE68" s="2">
        <v>1624</v>
      </c>
    </row>
    <row r="69" spans="3:57" ht="17" customHeight="1" x14ac:dyDescent="0.2">
      <c r="C69" s="2"/>
      <c r="D69" s="2"/>
      <c r="F69" s="12">
        <v>156</v>
      </c>
      <c r="G69" s="2">
        <f>G68+Tabla32037[[#This Row],[Incremento]]</f>
        <v>333619.8228125</v>
      </c>
      <c r="H69" s="2">
        <v>1624</v>
      </c>
      <c r="J69" s="12">
        <v>156</v>
      </c>
      <c r="K69" s="2">
        <f>K68+Tabla32037[[#This Row],[Incremento]]</f>
        <v>333619.8228125</v>
      </c>
      <c r="L69" s="2">
        <v>1624</v>
      </c>
      <c r="N69" s="12">
        <v>156</v>
      </c>
      <c r="O69" s="2">
        <f>O68+Tabla32037[[#This Row],[Incremento]]</f>
        <v>247815.72654999999</v>
      </c>
      <c r="P69" s="2">
        <v>1624</v>
      </c>
      <c r="R69" s="12">
        <v>156</v>
      </c>
      <c r="S69" s="2">
        <f>S68+Tabla32037[[#This Row],[Incremento]]</f>
        <v>151719.3125</v>
      </c>
      <c r="T69" s="2">
        <v>1624</v>
      </c>
      <c r="V69" s="12">
        <v>156</v>
      </c>
      <c r="W69" s="2">
        <f>W68+Tabla32037[[#This Row],[Incremento]]</f>
        <v>679414.61494397931</v>
      </c>
      <c r="X69" s="2">
        <v>1624</v>
      </c>
      <c r="Y69" s="2"/>
      <c r="Z69" s="12">
        <v>156</v>
      </c>
      <c r="AA69" s="2">
        <f>AA68+Tabla32037[[#This Row],[Incremento]]</f>
        <v>208583.06790501633</v>
      </c>
      <c r="AB69" s="2">
        <v>1624</v>
      </c>
      <c r="AC69" s="2"/>
      <c r="AD69" s="12">
        <v>156</v>
      </c>
      <c r="AE69" s="2">
        <f>AE68+Tabla32037[[#This Row],[Incremento]]</f>
        <v>326222.13581003266</v>
      </c>
      <c r="AF69" s="2">
        <v>1624</v>
      </c>
      <c r="AH69" s="12">
        <v>156</v>
      </c>
      <c r="AI69" s="2">
        <f>AI68+Tabla32037[[#This Row],[Incremento]]</f>
        <v>326222.13581003266</v>
      </c>
      <c r="AJ69" s="2">
        <v>1624</v>
      </c>
      <c r="AM69" s="35">
        <v>156</v>
      </c>
      <c r="AN69" s="10">
        <f>AN68+Tabla32037[[#This Row],[Incremento]]</f>
        <v>420333.39013404562</v>
      </c>
      <c r="AO69" s="10">
        <v>1624</v>
      </c>
      <c r="AQ69" s="12">
        <v>156</v>
      </c>
      <c r="AR69" s="2">
        <f>AR68+Tabla32037[[#This Row],[Incremento]]</f>
        <v>314458.22901953099</v>
      </c>
      <c r="AS69" s="2">
        <v>1624</v>
      </c>
      <c r="AU69" s="12">
        <v>156</v>
      </c>
      <c r="AV69" s="2">
        <f>AV68+Tabla32037[[#This Row],[Incremento]]</f>
        <v>505229.60438720003</v>
      </c>
      <c r="AW69" s="2">
        <v>1624</v>
      </c>
      <c r="AX69" s="2"/>
      <c r="AY69" s="12">
        <v>156</v>
      </c>
      <c r="AZ69" s="2">
        <f>AZ68+Tabla32037[[#This Row],[Incremento]]</f>
        <v>1699252.9533449123</v>
      </c>
      <c r="BA69" s="2">
        <v>1624</v>
      </c>
      <c r="BC69" s="12">
        <v>156</v>
      </c>
      <c r="BD69" s="2">
        <f>BD68+Tabla32037[[#This Row],[Incremento]]</f>
        <v>229039.2014624</v>
      </c>
      <c r="BE69" s="2">
        <v>1624</v>
      </c>
    </row>
    <row r="70" spans="3:57" ht="17" customHeight="1" x14ac:dyDescent="0.2">
      <c r="C70" s="2"/>
      <c r="D70" s="2"/>
      <c r="F70" s="12">
        <v>157</v>
      </c>
      <c r="G70" s="2">
        <f>G69+Tabla32037[[#This Row],[Incremento]]</f>
        <v>335243.8228125</v>
      </c>
      <c r="H70" s="2">
        <v>1624</v>
      </c>
      <c r="J70" s="12">
        <v>157</v>
      </c>
      <c r="K70" s="2">
        <f>K69+Tabla32037[[#This Row],[Incremento]]</f>
        <v>335243.8228125</v>
      </c>
      <c r="L70" s="2">
        <v>1624</v>
      </c>
      <c r="N70" s="12">
        <v>157</v>
      </c>
      <c r="O70" s="2">
        <f>O69+Tabla32037[[#This Row],[Incremento]]</f>
        <v>249439.72654999999</v>
      </c>
      <c r="P70" s="2">
        <v>1624</v>
      </c>
      <c r="R70" s="12">
        <v>157</v>
      </c>
      <c r="S70" s="2">
        <f>S69+Tabla32037[[#This Row],[Incremento]]</f>
        <v>153343.3125</v>
      </c>
      <c r="T70" s="2">
        <v>1624</v>
      </c>
      <c r="V70" s="12">
        <v>157</v>
      </c>
      <c r="W70" s="2">
        <f>W69+Tabla32037[[#This Row],[Incremento]]</f>
        <v>681038.61494397931</v>
      </c>
      <c r="X70" s="2">
        <v>1624</v>
      </c>
      <c r="Y70" s="2"/>
      <c r="Z70" s="12">
        <v>157</v>
      </c>
      <c r="AA70" s="2">
        <f>AA69+Tabla32037[[#This Row],[Incremento]]</f>
        <v>210207.06790501633</v>
      </c>
      <c r="AB70" s="2">
        <v>1624</v>
      </c>
      <c r="AC70" s="2"/>
      <c r="AD70" s="12">
        <v>157</v>
      </c>
      <c r="AE70" s="2">
        <f>AE69+Tabla32037[[#This Row],[Incremento]]</f>
        <v>327846.13581003266</v>
      </c>
      <c r="AF70" s="2">
        <v>1624</v>
      </c>
      <c r="AH70" s="12">
        <v>157</v>
      </c>
      <c r="AI70" s="2">
        <f>AI69+Tabla32037[[#This Row],[Incremento]]</f>
        <v>327846.13581003266</v>
      </c>
      <c r="AJ70" s="2">
        <v>1624</v>
      </c>
      <c r="AM70" s="34">
        <v>157</v>
      </c>
      <c r="AN70" s="32">
        <f>AN69+Tabla32037[[#This Row],[Incremento]]</f>
        <v>421957.39013404562</v>
      </c>
      <c r="AO70" s="32">
        <v>1624</v>
      </c>
      <c r="AQ70" s="12">
        <v>157</v>
      </c>
      <c r="AR70" s="2">
        <f>AR69+Tabla32037[[#This Row],[Incremento]]</f>
        <v>316082.22901953099</v>
      </c>
      <c r="AS70" s="2">
        <v>1624</v>
      </c>
      <c r="AU70" s="12">
        <v>157</v>
      </c>
      <c r="AV70" s="2">
        <f>AV69+Tabla32037[[#This Row],[Incremento]]</f>
        <v>506853.60438720003</v>
      </c>
      <c r="AW70" s="2">
        <v>1624</v>
      </c>
      <c r="AX70" s="2"/>
      <c r="AY70" s="12">
        <v>157</v>
      </c>
      <c r="AZ70" s="2">
        <f>AZ69+Tabla32037[[#This Row],[Incremento]]</f>
        <v>1700876.9533449123</v>
      </c>
      <c r="BA70" s="2">
        <v>1624</v>
      </c>
      <c r="BC70" s="12">
        <v>157</v>
      </c>
      <c r="BD70" s="2">
        <f>BD69+Tabla32037[[#This Row],[Incremento]]</f>
        <v>230663.2014624</v>
      </c>
      <c r="BE70" s="2">
        <v>1624</v>
      </c>
    </row>
    <row r="71" spans="3:57" ht="17" customHeight="1" x14ac:dyDescent="0.2">
      <c r="C71" s="2"/>
      <c r="D71" s="2"/>
      <c r="F71" s="12">
        <v>158</v>
      </c>
      <c r="G71" s="2">
        <f>G70+Tabla32037[[#This Row],[Incremento]]</f>
        <v>336867.8228125</v>
      </c>
      <c r="H71" s="2">
        <v>1624</v>
      </c>
      <c r="J71" s="12">
        <v>158</v>
      </c>
      <c r="K71" s="2">
        <f>K70+Tabla32037[[#This Row],[Incremento]]</f>
        <v>336867.8228125</v>
      </c>
      <c r="L71" s="2">
        <v>1624</v>
      </c>
      <c r="N71" s="12">
        <v>158</v>
      </c>
      <c r="O71" s="2">
        <f>O70+Tabla32037[[#This Row],[Incremento]]</f>
        <v>251063.72654999999</v>
      </c>
      <c r="P71" s="2">
        <v>1624</v>
      </c>
      <c r="R71" s="12">
        <v>158</v>
      </c>
      <c r="S71" s="2">
        <f>S70+Tabla32037[[#This Row],[Incremento]]</f>
        <v>154967.3125</v>
      </c>
      <c r="T71" s="2">
        <v>1624</v>
      </c>
      <c r="V71" s="12">
        <v>158</v>
      </c>
      <c r="W71" s="2">
        <f>W70+Tabla32037[[#This Row],[Incremento]]</f>
        <v>682662.61494397931</v>
      </c>
      <c r="X71" s="2">
        <v>1624</v>
      </c>
      <c r="Y71" s="2"/>
      <c r="Z71" s="12">
        <v>158</v>
      </c>
      <c r="AA71" s="2">
        <f>AA70+Tabla32037[[#This Row],[Incremento]]</f>
        <v>211831.06790501633</v>
      </c>
      <c r="AB71" s="2">
        <v>1624</v>
      </c>
      <c r="AC71" s="2"/>
      <c r="AD71" s="12">
        <v>158</v>
      </c>
      <c r="AE71" s="2">
        <f>AE70+Tabla32037[[#This Row],[Incremento]]</f>
        <v>329470.13581003266</v>
      </c>
      <c r="AF71" s="2">
        <v>1624</v>
      </c>
      <c r="AH71" s="12">
        <v>158</v>
      </c>
      <c r="AI71" s="2">
        <f>AI70+Tabla32037[[#This Row],[Incremento]]</f>
        <v>329470.13581003266</v>
      </c>
      <c r="AJ71" s="2">
        <v>1624</v>
      </c>
      <c r="AM71" s="35">
        <v>158</v>
      </c>
      <c r="AN71" s="10">
        <f>AN70+Tabla32037[[#This Row],[Incremento]]</f>
        <v>423581.39013404562</v>
      </c>
      <c r="AO71" s="10">
        <v>1624</v>
      </c>
      <c r="AQ71" s="12">
        <v>158</v>
      </c>
      <c r="AR71" s="2">
        <f>AR70+Tabla32037[[#This Row],[Incremento]]</f>
        <v>317706.22901953099</v>
      </c>
      <c r="AS71" s="2">
        <v>1624</v>
      </c>
      <c r="AU71" s="12">
        <v>158</v>
      </c>
      <c r="AV71" s="2">
        <f>AV70+Tabla32037[[#This Row],[Incremento]]</f>
        <v>508477.60438720003</v>
      </c>
      <c r="AW71" s="2">
        <v>1624</v>
      </c>
      <c r="AX71" s="2"/>
      <c r="AY71" s="12">
        <v>158</v>
      </c>
      <c r="AZ71" s="2">
        <f>AZ70+Tabla32037[[#This Row],[Incremento]]</f>
        <v>1702500.9533449123</v>
      </c>
      <c r="BA71" s="2">
        <v>1624</v>
      </c>
      <c r="BC71" s="12">
        <v>158</v>
      </c>
      <c r="BD71" s="2">
        <f>BD70+Tabla32037[[#This Row],[Incremento]]</f>
        <v>232287.2014624</v>
      </c>
      <c r="BE71" s="2">
        <v>1624</v>
      </c>
    </row>
    <row r="72" spans="3:57" ht="17" customHeight="1" x14ac:dyDescent="0.2">
      <c r="C72" s="2"/>
      <c r="D72" s="2"/>
      <c r="F72" s="12">
        <v>159</v>
      </c>
      <c r="G72" s="2">
        <f>G71+Tabla32037[[#This Row],[Incremento]]</f>
        <v>338491.8228125</v>
      </c>
      <c r="H72" s="2">
        <v>1624</v>
      </c>
      <c r="J72" s="12">
        <v>159</v>
      </c>
      <c r="K72" s="2">
        <f>K71+Tabla32037[[#This Row],[Incremento]]</f>
        <v>338491.8228125</v>
      </c>
      <c r="L72" s="2">
        <v>1624</v>
      </c>
      <c r="N72" s="12">
        <v>159</v>
      </c>
      <c r="O72" s="2">
        <f>O71+Tabla32037[[#This Row],[Incremento]]</f>
        <v>252687.72654999999</v>
      </c>
      <c r="P72" s="2">
        <v>1624</v>
      </c>
      <c r="R72" s="12">
        <v>159</v>
      </c>
      <c r="S72" s="2">
        <f>S71+Tabla32037[[#This Row],[Incremento]]</f>
        <v>156591.3125</v>
      </c>
      <c r="T72" s="2">
        <v>1624</v>
      </c>
      <c r="V72" s="12">
        <v>159</v>
      </c>
      <c r="W72" s="2">
        <f>W71+Tabla32037[[#This Row],[Incremento]]</f>
        <v>684286.61494397931</v>
      </c>
      <c r="X72" s="2">
        <v>1624</v>
      </c>
      <c r="Y72" s="2"/>
      <c r="Z72" s="12">
        <v>159</v>
      </c>
      <c r="AA72" s="2">
        <f>AA71+Tabla32037[[#This Row],[Incremento]]</f>
        <v>213455.06790501633</v>
      </c>
      <c r="AB72" s="2">
        <v>1624</v>
      </c>
      <c r="AC72" s="2"/>
      <c r="AD72" s="12">
        <v>159</v>
      </c>
      <c r="AE72" s="2">
        <f>AE71+Tabla32037[[#This Row],[Incremento]]</f>
        <v>331094.13581003266</v>
      </c>
      <c r="AF72" s="2">
        <v>1624</v>
      </c>
      <c r="AH72" s="12">
        <v>159</v>
      </c>
      <c r="AI72" s="2">
        <f>AI71+Tabla32037[[#This Row],[Incremento]]</f>
        <v>331094.13581003266</v>
      </c>
      <c r="AJ72" s="2">
        <v>1624</v>
      </c>
      <c r="AM72" s="34">
        <v>159</v>
      </c>
      <c r="AN72" s="32">
        <f>AN71+Tabla32037[[#This Row],[Incremento]]</f>
        <v>425205.39013404562</v>
      </c>
      <c r="AO72" s="32">
        <v>1624</v>
      </c>
      <c r="AQ72" s="12">
        <v>159</v>
      </c>
      <c r="AR72" s="2">
        <f>AR71+Tabla32037[[#This Row],[Incremento]]</f>
        <v>319330.22901953099</v>
      </c>
      <c r="AS72" s="2">
        <v>1624</v>
      </c>
      <c r="AU72" s="12">
        <v>159</v>
      </c>
      <c r="AV72" s="2">
        <f>AV71+Tabla32037[[#This Row],[Incremento]]</f>
        <v>510101.60438720003</v>
      </c>
      <c r="AW72" s="2">
        <v>1624</v>
      </c>
      <c r="AX72" s="2"/>
      <c r="AY72" s="12">
        <v>159</v>
      </c>
      <c r="AZ72" s="2">
        <f>AZ71+Tabla32037[[#This Row],[Incremento]]</f>
        <v>1704124.9533449123</v>
      </c>
      <c r="BA72" s="2">
        <v>1624</v>
      </c>
      <c r="BC72" s="12">
        <v>159</v>
      </c>
      <c r="BD72" s="2">
        <f>BD71+Tabla32037[[#This Row],[Incremento]]</f>
        <v>233911.2014624</v>
      </c>
      <c r="BE72" s="2">
        <v>1624</v>
      </c>
    </row>
    <row r="73" spans="3:57" ht="17" customHeight="1" x14ac:dyDescent="0.2">
      <c r="C73" s="2"/>
      <c r="D73" s="2"/>
      <c r="F73" s="12">
        <v>160</v>
      </c>
      <c r="G73" s="2">
        <f>G72+Tabla32037[[#This Row],[Incremento]]</f>
        <v>340115.8228125</v>
      </c>
      <c r="H73" s="2">
        <v>1624</v>
      </c>
      <c r="J73" s="12">
        <v>160</v>
      </c>
      <c r="K73" s="2">
        <f>K72+Tabla32037[[#This Row],[Incremento]]</f>
        <v>340115.8228125</v>
      </c>
      <c r="L73" s="2">
        <v>1624</v>
      </c>
      <c r="N73" s="12">
        <v>160</v>
      </c>
      <c r="O73" s="2">
        <f>O72+Tabla32037[[#This Row],[Incremento]]</f>
        <v>254311.72654999999</v>
      </c>
      <c r="P73" s="2">
        <v>1624</v>
      </c>
      <c r="R73" s="12">
        <v>160</v>
      </c>
      <c r="S73" s="2">
        <f>S72+Tabla32037[[#This Row],[Incremento]]</f>
        <v>158215.3125</v>
      </c>
      <c r="T73" s="2">
        <v>1624</v>
      </c>
      <c r="V73" s="12">
        <v>160</v>
      </c>
      <c r="W73" s="2">
        <f>W72+Tabla32037[[#This Row],[Incremento]]</f>
        <v>685910.61494397931</v>
      </c>
      <c r="X73" s="2">
        <v>1624</v>
      </c>
      <c r="Y73" s="2"/>
      <c r="Z73" s="12">
        <v>160</v>
      </c>
      <c r="AA73" s="2">
        <f>AA72+Tabla32037[[#This Row],[Incremento]]</f>
        <v>215079.06790501633</v>
      </c>
      <c r="AB73" s="2">
        <v>1624</v>
      </c>
      <c r="AC73" s="2"/>
      <c r="AD73" s="12">
        <v>160</v>
      </c>
      <c r="AE73" s="2">
        <f>AE72+Tabla32037[[#This Row],[Incremento]]</f>
        <v>332718.13581003266</v>
      </c>
      <c r="AF73" s="2">
        <v>1624</v>
      </c>
      <c r="AH73" s="12">
        <v>160</v>
      </c>
      <c r="AI73" s="2">
        <f>AI72+Tabla32037[[#This Row],[Incremento]]</f>
        <v>332718.13581003266</v>
      </c>
      <c r="AJ73" s="2">
        <v>1624</v>
      </c>
      <c r="AM73" s="35">
        <v>160</v>
      </c>
      <c r="AN73" s="10">
        <f>AN72+Tabla32037[[#This Row],[Incremento]]</f>
        <v>426829.39013404562</v>
      </c>
      <c r="AO73" s="10">
        <v>1624</v>
      </c>
      <c r="AQ73" s="12">
        <v>160</v>
      </c>
      <c r="AR73" s="2">
        <f>AR72+Tabla32037[[#This Row],[Incremento]]</f>
        <v>320954.22901953099</v>
      </c>
      <c r="AS73" s="2">
        <v>1624</v>
      </c>
      <c r="AU73" s="12">
        <v>160</v>
      </c>
      <c r="AV73" s="2">
        <f>AV72+Tabla32037[[#This Row],[Incremento]]</f>
        <v>511725.60438720003</v>
      </c>
      <c r="AW73" s="2">
        <v>1624</v>
      </c>
      <c r="AX73" s="2"/>
      <c r="AY73" s="12">
        <v>160</v>
      </c>
      <c r="AZ73" s="2">
        <f>AZ72+Tabla32037[[#This Row],[Incremento]]</f>
        <v>1705748.9533449123</v>
      </c>
      <c r="BA73" s="2">
        <v>1624</v>
      </c>
      <c r="BC73" s="12">
        <v>160</v>
      </c>
      <c r="BD73" s="2">
        <f>BD72+Tabla32037[[#This Row],[Incremento]]</f>
        <v>235535.2014624</v>
      </c>
      <c r="BE73" s="2">
        <v>1624</v>
      </c>
    </row>
    <row r="74" spans="3:57" ht="17" customHeight="1" x14ac:dyDescent="0.2">
      <c r="C74" s="2"/>
      <c r="D74" s="2"/>
      <c r="F74" s="12">
        <v>161</v>
      </c>
      <c r="G74" s="2">
        <f>G73+Tabla32037[[#This Row],[Incremento]]</f>
        <v>341739.8228125</v>
      </c>
      <c r="H74" s="2">
        <v>1624</v>
      </c>
      <c r="J74" s="12">
        <v>161</v>
      </c>
      <c r="K74" s="2">
        <f>K73+Tabla32037[[#This Row],[Incremento]]</f>
        <v>341739.8228125</v>
      </c>
      <c r="L74" s="2">
        <v>1624</v>
      </c>
      <c r="N74" s="12">
        <v>161</v>
      </c>
      <c r="O74" s="2">
        <f>O73+Tabla32037[[#This Row],[Incremento]]</f>
        <v>255935.72654999999</v>
      </c>
      <c r="P74" s="2">
        <v>1624</v>
      </c>
      <c r="R74" s="12">
        <v>161</v>
      </c>
      <c r="S74" s="2">
        <f>S73+Tabla32037[[#This Row],[Incremento]]</f>
        <v>159839.3125</v>
      </c>
      <c r="T74" s="2">
        <v>1624</v>
      </c>
      <c r="V74" s="12">
        <v>161</v>
      </c>
      <c r="W74" s="2">
        <f>W73+Tabla32037[[#This Row],[Incremento]]</f>
        <v>687534.61494397931</v>
      </c>
      <c r="X74" s="2">
        <v>1624</v>
      </c>
      <c r="Y74" s="2"/>
      <c r="Z74" s="12">
        <v>161</v>
      </c>
      <c r="AA74" s="2">
        <f>AA73+Tabla32037[[#This Row],[Incremento]]</f>
        <v>216703.06790501633</v>
      </c>
      <c r="AB74" s="2">
        <v>1624</v>
      </c>
      <c r="AC74" s="2"/>
      <c r="AD74" s="12">
        <v>161</v>
      </c>
      <c r="AE74" s="2">
        <f>AE73+Tabla32037[[#This Row],[Incremento]]</f>
        <v>334342.13581003266</v>
      </c>
      <c r="AF74" s="2">
        <v>1624</v>
      </c>
      <c r="AH74" s="12">
        <v>161</v>
      </c>
      <c r="AI74" s="2">
        <f>AI73+Tabla32037[[#This Row],[Incremento]]</f>
        <v>334342.13581003266</v>
      </c>
      <c r="AJ74" s="2">
        <v>1624</v>
      </c>
      <c r="AM74" s="34">
        <v>161</v>
      </c>
      <c r="AN74" s="32">
        <f>AN73+Tabla32037[[#This Row],[Incremento]]</f>
        <v>428453.39013404562</v>
      </c>
      <c r="AO74" s="32">
        <v>1624</v>
      </c>
      <c r="AQ74" s="12">
        <v>161</v>
      </c>
      <c r="AR74" s="2">
        <f>AR73+Tabla32037[[#This Row],[Incremento]]</f>
        <v>322578.22901953099</v>
      </c>
      <c r="AS74" s="2">
        <v>1624</v>
      </c>
      <c r="AU74" s="12">
        <v>161</v>
      </c>
      <c r="AV74" s="2">
        <f>AV73+Tabla32037[[#This Row],[Incremento]]</f>
        <v>513349.60438720003</v>
      </c>
      <c r="AW74" s="2">
        <v>1624</v>
      </c>
      <c r="AX74" s="2"/>
      <c r="AY74" s="12">
        <v>161</v>
      </c>
      <c r="AZ74" s="2">
        <f>AZ73+Tabla32037[[#This Row],[Incremento]]</f>
        <v>1707372.9533449123</v>
      </c>
      <c r="BA74" s="2">
        <v>1624</v>
      </c>
      <c r="BC74" s="12">
        <v>161</v>
      </c>
      <c r="BD74" s="2">
        <f>BD73+Tabla32037[[#This Row],[Incremento]]</f>
        <v>237159.2014624</v>
      </c>
      <c r="BE74" s="2">
        <v>1624</v>
      </c>
    </row>
    <row r="75" spans="3:57" ht="17" customHeight="1" x14ac:dyDescent="0.2">
      <c r="C75" s="2"/>
      <c r="D75" s="2"/>
      <c r="F75" s="12">
        <v>162</v>
      </c>
      <c r="G75" s="2">
        <f>G74+Tabla32037[[#This Row],[Incremento]]</f>
        <v>343363.8228125</v>
      </c>
      <c r="H75" s="2">
        <v>1624</v>
      </c>
      <c r="J75" s="12">
        <v>162</v>
      </c>
      <c r="K75" s="2">
        <f>K74+Tabla32037[[#This Row],[Incremento]]</f>
        <v>343363.8228125</v>
      </c>
      <c r="L75" s="2">
        <v>1624</v>
      </c>
      <c r="N75" s="12">
        <v>162</v>
      </c>
      <c r="O75" s="2">
        <f>O74+Tabla32037[[#This Row],[Incremento]]</f>
        <v>257559.72654999999</v>
      </c>
      <c r="P75" s="2">
        <v>1624</v>
      </c>
      <c r="R75" s="12">
        <v>162</v>
      </c>
      <c r="S75" s="2">
        <f>S74+Tabla32037[[#This Row],[Incremento]]</f>
        <v>161463.3125</v>
      </c>
      <c r="T75" s="2">
        <v>1624</v>
      </c>
      <c r="V75" s="12">
        <v>162</v>
      </c>
      <c r="W75" s="2">
        <f>W74+Tabla32037[[#This Row],[Incremento]]</f>
        <v>689158.61494397931</v>
      </c>
      <c r="X75" s="2">
        <v>1624</v>
      </c>
      <c r="Y75" s="2"/>
      <c r="Z75" s="12">
        <v>162</v>
      </c>
      <c r="AA75" s="2">
        <f>AA74+Tabla32037[[#This Row],[Incremento]]</f>
        <v>218327.06790501633</v>
      </c>
      <c r="AB75" s="2">
        <v>1624</v>
      </c>
      <c r="AC75" s="2"/>
      <c r="AD75" s="12">
        <v>162</v>
      </c>
      <c r="AE75" s="2">
        <f>AE74+Tabla32037[[#This Row],[Incremento]]</f>
        <v>335966.13581003266</v>
      </c>
      <c r="AF75" s="2">
        <v>1624</v>
      </c>
      <c r="AH75" s="12">
        <v>162</v>
      </c>
      <c r="AI75" s="2">
        <f>AI74+Tabla32037[[#This Row],[Incremento]]</f>
        <v>335966.13581003266</v>
      </c>
      <c r="AJ75" s="2">
        <v>1624</v>
      </c>
      <c r="AM75" s="35">
        <v>162</v>
      </c>
      <c r="AN75" s="10">
        <f>AN74+Tabla32037[[#This Row],[Incremento]]</f>
        <v>430077.39013404562</v>
      </c>
      <c r="AO75" s="10">
        <v>1624</v>
      </c>
      <c r="AQ75" s="12">
        <v>162</v>
      </c>
      <c r="AR75" s="2">
        <f>AR74+Tabla32037[[#This Row],[Incremento]]</f>
        <v>324202.22901953099</v>
      </c>
      <c r="AS75" s="2">
        <v>1624</v>
      </c>
      <c r="AU75" s="12">
        <v>162</v>
      </c>
      <c r="AV75" s="2">
        <f>AV74+Tabla32037[[#This Row],[Incremento]]</f>
        <v>514973.60438720003</v>
      </c>
      <c r="AW75" s="2">
        <v>1624</v>
      </c>
      <c r="AX75" s="2"/>
      <c r="AY75" s="12">
        <v>162</v>
      </c>
      <c r="AZ75" s="2">
        <f>AZ74+Tabla32037[[#This Row],[Incremento]]</f>
        <v>1708996.9533449123</v>
      </c>
      <c r="BA75" s="2">
        <v>1624</v>
      </c>
      <c r="BC75" s="12">
        <v>162</v>
      </c>
      <c r="BD75" s="2">
        <f>BD74+Tabla32037[[#This Row],[Incremento]]</f>
        <v>238783.2014624</v>
      </c>
      <c r="BE75" s="2">
        <v>1624</v>
      </c>
    </row>
    <row r="76" spans="3:57" ht="17" customHeight="1" x14ac:dyDescent="0.2">
      <c r="C76" s="2"/>
      <c r="D76" s="2"/>
      <c r="F76" s="12">
        <v>163</v>
      </c>
      <c r="G76" s="2">
        <f>G75+Tabla32037[[#This Row],[Incremento]]</f>
        <v>344987.8228125</v>
      </c>
      <c r="H76" s="2">
        <v>1624</v>
      </c>
      <c r="J76" s="12">
        <v>163</v>
      </c>
      <c r="K76" s="2">
        <f>K75+Tabla32037[[#This Row],[Incremento]]</f>
        <v>344987.8228125</v>
      </c>
      <c r="L76" s="2">
        <v>1624</v>
      </c>
      <c r="N76" s="12">
        <v>163</v>
      </c>
      <c r="O76" s="2">
        <f>O75+Tabla32037[[#This Row],[Incremento]]</f>
        <v>259183.72654999999</v>
      </c>
      <c r="P76" s="2">
        <v>1624</v>
      </c>
      <c r="R76" s="12">
        <v>163</v>
      </c>
      <c r="S76" s="2">
        <f>S75+Tabla32037[[#This Row],[Incremento]]</f>
        <v>163087.3125</v>
      </c>
      <c r="T76" s="2">
        <v>1624</v>
      </c>
      <c r="V76" s="12">
        <v>163</v>
      </c>
      <c r="W76" s="2">
        <f>W75+Tabla32037[[#This Row],[Incremento]]</f>
        <v>690782.61494397931</v>
      </c>
      <c r="X76" s="2">
        <v>1624</v>
      </c>
      <c r="Y76" s="2"/>
      <c r="Z76" s="12">
        <v>163</v>
      </c>
      <c r="AA76" s="2">
        <f>AA75+Tabla32037[[#This Row],[Incremento]]</f>
        <v>219951.06790501633</v>
      </c>
      <c r="AB76" s="2">
        <v>1624</v>
      </c>
      <c r="AC76" s="2"/>
      <c r="AD76" s="12">
        <v>163</v>
      </c>
      <c r="AE76" s="2">
        <f>AE75+Tabla32037[[#This Row],[Incremento]]</f>
        <v>337590.13581003266</v>
      </c>
      <c r="AF76" s="2">
        <v>1624</v>
      </c>
      <c r="AH76" s="12">
        <v>163</v>
      </c>
      <c r="AI76" s="2">
        <f>AI75+Tabla32037[[#This Row],[Incremento]]</f>
        <v>337590.13581003266</v>
      </c>
      <c r="AJ76" s="2">
        <v>1624</v>
      </c>
      <c r="AM76" s="34">
        <v>163</v>
      </c>
      <c r="AN76" s="32">
        <f>AN75+Tabla32037[[#This Row],[Incremento]]</f>
        <v>431701.39013404562</v>
      </c>
      <c r="AO76" s="32">
        <v>1624</v>
      </c>
      <c r="AQ76" s="12">
        <v>163</v>
      </c>
      <c r="AR76" s="2">
        <f>AR75+Tabla32037[[#This Row],[Incremento]]</f>
        <v>325826.22901953099</v>
      </c>
      <c r="AS76" s="2">
        <v>1624</v>
      </c>
      <c r="AU76" s="12">
        <v>163</v>
      </c>
      <c r="AV76" s="2">
        <f>AV75+Tabla32037[[#This Row],[Incremento]]</f>
        <v>516597.60438720003</v>
      </c>
      <c r="AW76" s="2">
        <v>1624</v>
      </c>
      <c r="AX76" s="2"/>
      <c r="AY76" s="12">
        <v>163</v>
      </c>
      <c r="AZ76" s="2">
        <f>AZ75+Tabla32037[[#This Row],[Incremento]]</f>
        <v>1710620.9533449123</v>
      </c>
      <c r="BA76" s="2">
        <v>1624</v>
      </c>
      <c r="BC76" s="12">
        <v>163</v>
      </c>
      <c r="BD76" s="2">
        <f>BD75+Tabla32037[[#This Row],[Incremento]]</f>
        <v>240407.2014624</v>
      </c>
      <c r="BE76" s="2">
        <v>1624</v>
      </c>
    </row>
    <row r="77" spans="3:57" ht="17" customHeight="1" x14ac:dyDescent="0.2">
      <c r="C77" s="2"/>
      <c r="D77" s="2"/>
      <c r="F77" s="12">
        <v>164</v>
      </c>
      <c r="G77" s="2">
        <f>G76+Tabla32037[[#This Row],[Incremento]]</f>
        <v>346611.8228125</v>
      </c>
      <c r="H77" s="2">
        <v>1624</v>
      </c>
      <c r="J77" s="12">
        <v>164</v>
      </c>
      <c r="K77" s="2">
        <f>K76+Tabla32037[[#This Row],[Incremento]]</f>
        <v>346611.8228125</v>
      </c>
      <c r="L77" s="2">
        <v>1624</v>
      </c>
      <c r="N77" s="12">
        <v>164</v>
      </c>
      <c r="O77" s="2">
        <f>O76+Tabla32037[[#This Row],[Incremento]]</f>
        <v>260807.72654999999</v>
      </c>
      <c r="P77" s="2">
        <v>1624</v>
      </c>
      <c r="R77" s="12">
        <v>164</v>
      </c>
      <c r="S77" s="2">
        <f>S76+Tabla32037[[#This Row],[Incremento]]</f>
        <v>164711.3125</v>
      </c>
      <c r="T77" s="2">
        <v>1624</v>
      </c>
      <c r="V77" s="12">
        <v>164</v>
      </c>
      <c r="W77" s="2">
        <f>W76+Tabla32037[[#This Row],[Incremento]]</f>
        <v>692406.61494397931</v>
      </c>
      <c r="X77" s="2">
        <v>1624</v>
      </c>
      <c r="Y77" s="2"/>
      <c r="Z77" s="12">
        <v>164</v>
      </c>
      <c r="AA77" s="2">
        <f>AA76+Tabla32037[[#This Row],[Incremento]]</f>
        <v>221575.06790501633</v>
      </c>
      <c r="AB77" s="2">
        <v>1624</v>
      </c>
      <c r="AC77" s="2"/>
      <c r="AD77" s="12">
        <v>164</v>
      </c>
      <c r="AE77" s="2">
        <f>AE76+Tabla32037[[#This Row],[Incremento]]</f>
        <v>339214.13581003266</v>
      </c>
      <c r="AF77" s="2">
        <v>1624</v>
      </c>
      <c r="AH77" s="12">
        <v>164</v>
      </c>
      <c r="AI77" s="2">
        <f>AI76+Tabla32037[[#This Row],[Incremento]]</f>
        <v>339214.13581003266</v>
      </c>
      <c r="AJ77" s="2">
        <v>1624</v>
      </c>
      <c r="AM77" s="35">
        <v>164</v>
      </c>
      <c r="AN77" s="10">
        <f>AN76+Tabla32037[[#This Row],[Incremento]]</f>
        <v>433325.39013404562</v>
      </c>
      <c r="AO77" s="10">
        <v>1624</v>
      </c>
      <c r="AQ77" s="12">
        <v>164</v>
      </c>
      <c r="AR77" s="2">
        <f>AR76+Tabla32037[[#This Row],[Incremento]]</f>
        <v>327450.22901953099</v>
      </c>
      <c r="AS77" s="2">
        <v>1624</v>
      </c>
      <c r="AU77" s="12">
        <v>164</v>
      </c>
      <c r="AV77" s="2">
        <f>AV76+Tabla32037[[#This Row],[Incremento]]</f>
        <v>518221.60438720003</v>
      </c>
      <c r="AW77" s="2">
        <v>1624</v>
      </c>
      <c r="AX77" s="2"/>
      <c r="AY77" s="12">
        <v>164</v>
      </c>
      <c r="AZ77" s="2">
        <f>AZ76+Tabla32037[[#This Row],[Incremento]]</f>
        <v>1712244.9533449123</v>
      </c>
      <c r="BA77" s="2">
        <v>1624</v>
      </c>
      <c r="BC77" s="12">
        <v>164</v>
      </c>
      <c r="BD77" s="2">
        <f>BD76+Tabla32037[[#This Row],[Incremento]]</f>
        <v>242031.2014624</v>
      </c>
      <c r="BE77" s="2">
        <v>1624</v>
      </c>
    </row>
    <row r="78" spans="3:57" ht="17" customHeight="1" x14ac:dyDescent="0.2">
      <c r="C78" s="2"/>
      <c r="D78" s="2"/>
      <c r="F78" s="12">
        <v>165</v>
      </c>
      <c r="G78" s="2">
        <f>G77+Tabla32037[[#This Row],[Incremento]]</f>
        <v>348235.8228125</v>
      </c>
      <c r="H78" s="2">
        <v>1624</v>
      </c>
      <c r="J78" s="12">
        <v>165</v>
      </c>
      <c r="K78" s="2">
        <f>K77+Tabla32037[[#This Row],[Incremento]]</f>
        <v>348235.8228125</v>
      </c>
      <c r="L78" s="2">
        <v>1624</v>
      </c>
      <c r="N78" s="12">
        <v>165</v>
      </c>
      <c r="O78" s="2">
        <f>O77+Tabla32037[[#This Row],[Incremento]]</f>
        <v>262431.72655000002</v>
      </c>
      <c r="P78" s="2">
        <v>1624</v>
      </c>
      <c r="R78" s="12">
        <v>165</v>
      </c>
      <c r="S78" s="2">
        <f>S77+Tabla32037[[#This Row],[Incremento]]</f>
        <v>166335.3125</v>
      </c>
      <c r="T78" s="2">
        <v>1624</v>
      </c>
      <c r="V78" s="12">
        <v>165</v>
      </c>
      <c r="W78" s="2">
        <f>W77+Tabla32037[[#This Row],[Incremento]]</f>
        <v>694030.61494397931</v>
      </c>
      <c r="X78" s="2">
        <v>1624</v>
      </c>
      <c r="Y78" s="2"/>
      <c r="Z78" s="12">
        <v>165</v>
      </c>
      <c r="AA78" s="2">
        <f>AA77+Tabla32037[[#This Row],[Incremento]]</f>
        <v>223199.06790501633</v>
      </c>
      <c r="AB78" s="2">
        <v>1624</v>
      </c>
      <c r="AC78" s="2"/>
      <c r="AD78" s="12">
        <v>165</v>
      </c>
      <c r="AE78" s="2">
        <f>AE77+Tabla32037[[#This Row],[Incremento]]</f>
        <v>340838.13581003266</v>
      </c>
      <c r="AF78" s="2">
        <v>1624</v>
      </c>
      <c r="AH78" s="12">
        <v>165</v>
      </c>
      <c r="AI78" s="2">
        <f>AI77+Tabla32037[[#This Row],[Incremento]]</f>
        <v>340838.13581003266</v>
      </c>
      <c r="AJ78" s="2">
        <v>1624</v>
      </c>
      <c r="AM78" s="34">
        <v>165</v>
      </c>
      <c r="AN78" s="32">
        <f>AN77+Tabla32037[[#This Row],[Incremento]]</f>
        <v>434949.39013404562</v>
      </c>
      <c r="AO78" s="32">
        <v>1624</v>
      </c>
      <c r="AQ78" s="12">
        <v>165</v>
      </c>
      <c r="AR78" s="2">
        <f>AR77+Tabla32037[[#This Row],[Incremento]]</f>
        <v>329074.22901953099</v>
      </c>
      <c r="AS78" s="2">
        <v>1624</v>
      </c>
      <c r="AU78" s="12">
        <v>165</v>
      </c>
      <c r="AV78" s="2">
        <f>AV77+Tabla32037[[#This Row],[Incremento]]</f>
        <v>519845.60438720003</v>
      </c>
      <c r="AW78" s="2">
        <v>1624</v>
      </c>
      <c r="AX78" s="2"/>
      <c r="AY78" s="12">
        <v>165</v>
      </c>
      <c r="AZ78" s="2">
        <f>AZ77+Tabla32037[[#This Row],[Incremento]]</f>
        <v>1713868.9533449123</v>
      </c>
      <c r="BA78" s="2">
        <v>1624</v>
      </c>
      <c r="BC78" s="12">
        <v>165</v>
      </c>
      <c r="BD78" s="2">
        <f>BD77+Tabla32037[[#This Row],[Incremento]]</f>
        <v>243655.2014624</v>
      </c>
      <c r="BE78" s="2">
        <v>1624</v>
      </c>
    </row>
    <row r="79" spans="3:57" ht="17" customHeight="1" x14ac:dyDescent="0.2">
      <c r="C79" s="2"/>
      <c r="D79" s="2"/>
      <c r="F79" s="12">
        <v>166</v>
      </c>
      <c r="G79" s="2">
        <f>G78+Tabla32037[[#This Row],[Incremento]]</f>
        <v>349859.8228125</v>
      </c>
      <c r="H79" s="2">
        <v>1624</v>
      </c>
      <c r="J79" s="12">
        <v>166</v>
      </c>
      <c r="K79" s="2">
        <f>K78+Tabla32037[[#This Row],[Incremento]]</f>
        <v>349859.8228125</v>
      </c>
      <c r="L79" s="2">
        <v>1624</v>
      </c>
      <c r="N79" s="12">
        <v>166</v>
      </c>
      <c r="O79" s="2">
        <f>O78+Tabla32037[[#This Row],[Incremento]]</f>
        <v>264055.72655000002</v>
      </c>
      <c r="P79" s="2">
        <v>1624</v>
      </c>
      <c r="R79" s="12">
        <v>166</v>
      </c>
      <c r="S79" s="2">
        <f>S78+Tabla32037[[#This Row],[Incremento]]</f>
        <v>167959.3125</v>
      </c>
      <c r="T79" s="2">
        <v>1624</v>
      </c>
      <c r="V79" s="12">
        <v>166</v>
      </c>
      <c r="W79" s="2">
        <f>W78+Tabla32037[[#This Row],[Incremento]]</f>
        <v>695654.61494397931</v>
      </c>
      <c r="X79" s="2">
        <v>1624</v>
      </c>
      <c r="Y79" s="2"/>
      <c r="Z79" s="12">
        <v>166</v>
      </c>
      <c r="AA79" s="2">
        <f>AA78+Tabla32037[[#This Row],[Incremento]]</f>
        <v>224823.06790501633</v>
      </c>
      <c r="AB79" s="2">
        <v>1624</v>
      </c>
      <c r="AC79" s="2"/>
      <c r="AD79" s="12">
        <v>166</v>
      </c>
      <c r="AE79" s="2">
        <f>AE78+Tabla32037[[#This Row],[Incremento]]</f>
        <v>342462.13581003266</v>
      </c>
      <c r="AF79" s="2">
        <v>1624</v>
      </c>
      <c r="AH79" s="12">
        <v>166</v>
      </c>
      <c r="AI79" s="2">
        <f>AI78+Tabla32037[[#This Row],[Incremento]]</f>
        <v>342462.13581003266</v>
      </c>
      <c r="AJ79" s="2">
        <v>1624</v>
      </c>
      <c r="AM79" s="35">
        <v>166</v>
      </c>
      <c r="AN79" s="10">
        <f>AN78+Tabla32037[[#This Row],[Incremento]]</f>
        <v>436573.39013404562</v>
      </c>
      <c r="AO79" s="10">
        <v>1624</v>
      </c>
      <c r="AQ79" s="12">
        <v>166</v>
      </c>
      <c r="AR79" s="2">
        <f>AR78+Tabla32037[[#This Row],[Incremento]]</f>
        <v>330698.22901953099</v>
      </c>
      <c r="AS79" s="2">
        <v>1624</v>
      </c>
      <c r="AU79" s="12">
        <v>166</v>
      </c>
      <c r="AV79" s="2">
        <f>AV78+Tabla32037[[#This Row],[Incremento]]</f>
        <v>521469.60438720003</v>
      </c>
      <c r="AW79" s="2">
        <v>1624</v>
      </c>
      <c r="AX79" s="2"/>
      <c r="AY79" s="12">
        <v>166</v>
      </c>
      <c r="AZ79" s="2">
        <f>AZ78+Tabla32037[[#This Row],[Incremento]]</f>
        <v>1715492.9533449123</v>
      </c>
      <c r="BA79" s="2">
        <v>1624</v>
      </c>
      <c r="BC79" s="12">
        <v>166</v>
      </c>
      <c r="BD79" s="2">
        <f>BD78+Tabla32037[[#This Row],[Incremento]]</f>
        <v>245279.2014624</v>
      </c>
      <c r="BE79" s="2">
        <v>1624</v>
      </c>
    </row>
    <row r="80" spans="3:57" ht="17" customHeight="1" x14ac:dyDescent="0.2">
      <c r="C80" s="2"/>
      <c r="D80" s="2"/>
      <c r="F80" s="12">
        <v>167</v>
      </c>
      <c r="G80" s="2">
        <f>G79+Tabla32037[[#This Row],[Incremento]]</f>
        <v>351483.8228125</v>
      </c>
      <c r="H80" s="2">
        <v>1624</v>
      </c>
      <c r="J80" s="12">
        <v>167</v>
      </c>
      <c r="K80" s="2">
        <f>K79+Tabla32037[[#This Row],[Incremento]]</f>
        <v>351483.8228125</v>
      </c>
      <c r="L80" s="2">
        <v>1624</v>
      </c>
      <c r="N80" s="12">
        <v>167</v>
      </c>
      <c r="O80" s="2">
        <f>O79+Tabla32037[[#This Row],[Incremento]]</f>
        <v>265679.72655000002</v>
      </c>
      <c r="P80" s="2">
        <v>1624</v>
      </c>
      <c r="R80" s="12">
        <v>167</v>
      </c>
      <c r="S80" s="2">
        <f>S79+Tabla32037[[#This Row],[Incremento]]</f>
        <v>169583.3125</v>
      </c>
      <c r="T80" s="2">
        <v>1624</v>
      </c>
      <c r="V80" s="12">
        <v>167</v>
      </c>
      <c r="W80" s="2">
        <f>W79+Tabla32037[[#This Row],[Incremento]]</f>
        <v>697278.61494397931</v>
      </c>
      <c r="X80" s="2">
        <v>1624</v>
      </c>
      <c r="Y80" s="2"/>
      <c r="Z80" s="12">
        <v>167</v>
      </c>
      <c r="AA80" s="2">
        <f>AA79+Tabla32037[[#This Row],[Incremento]]</f>
        <v>226447.06790501633</v>
      </c>
      <c r="AB80" s="2">
        <v>1624</v>
      </c>
      <c r="AC80" s="2"/>
      <c r="AD80" s="12">
        <v>167</v>
      </c>
      <c r="AE80" s="2">
        <f>AE79+Tabla32037[[#This Row],[Incremento]]</f>
        <v>344086.13581003266</v>
      </c>
      <c r="AF80" s="2">
        <v>1624</v>
      </c>
      <c r="AH80" s="12">
        <v>167</v>
      </c>
      <c r="AI80" s="2">
        <f>AI79+Tabla32037[[#This Row],[Incremento]]</f>
        <v>344086.13581003266</v>
      </c>
      <c r="AJ80" s="2">
        <v>1624</v>
      </c>
      <c r="AM80" s="34">
        <v>167</v>
      </c>
      <c r="AN80" s="32">
        <f>AN79+Tabla32037[[#This Row],[Incremento]]</f>
        <v>438197.39013404562</v>
      </c>
      <c r="AO80" s="32">
        <v>1624</v>
      </c>
      <c r="AQ80" s="12">
        <v>167</v>
      </c>
      <c r="AR80" s="2">
        <f>AR79+Tabla32037[[#This Row],[Incremento]]</f>
        <v>332322.22901953099</v>
      </c>
      <c r="AS80" s="2">
        <v>1624</v>
      </c>
      <c r="AU80" s="12">
        <v>167</v>
      </c>
      <c r="AV80" s="2">
        <f>AV79+Tabla32037[[#This Row],[Incremento]]</f>
        <v>523093.60438720003</v>
      </c>
      <c r="AW80" s="2">
        <v>1624</v>
      </c>
      <c r="AX80" s="2"/>
      <c r="AY80" s="12">
        <v>167</v>
      </c>
      <c r="AZ80" s="2">
        <f>AZ79+Tabla32037[[#This Row],[Incremento]]</f>
        <v>1717116.9533449123</v>
      </c>
      <c r="BA80" s="2">
        <v>1624</v>
      </c>
      <c r="BC80" s="12">
        <v>167</v>
      </c>
      <c r="BD80" s="2">
        <f>BD79+Tabla32037[[#This Row],[Incremento]]</f>
        <v>246903.2014624</v>
      </c>
      <c r="BE80" s="2">
        <v>1624</v>
      </c>
    </row>
    <row r="81" spans="3:57" ht="17" customHeight="1" x14ac:dyDescent="0.2">
      <c r="C81" s="2"/>
      <c r="D81" s="2"/>
      <c r="F81" s="12">
        <v>168</v>
      </c>
      <c r="G81" s="2">
        <f>G80+Tabla32037[[#This Row],[Incremento]]</f>
        <v>353107.8228125</v>
      </c>
      <c r="H81" s="2">
        <v>1624</v>
      </c>
      <c r="J81" s="12">
        <v>168</v>
      </c>
      <c r="K81" s="2">
        <f>K80+Tabla32037[[#This Row],[Incremento]]</f>
        <v>353107.8228125</v>
      </c>
      <c r="L81" s="2">
        <v>1624</v>
      </c>
      <c r="N81" s="12">
        <v>168</v>
      </c>
      <c r="O81" s="2">
        <f>O80+Tabla32037[[#This Row],[Incremento]]</f>
        <v>267303.72655000002</v>
      </c>
      <c r="P81" s="2">
        <v>1624</v>
      </c>
      <c r="R81" s="12">
        <v>168</v>
      </c>
      <c r="S81" s="2">
        <f>S80+Tabla32037[[#This Row],[Incremento]]</f>
        <v>171207.3125</v>
      </c>
      <c r="T81" s="2">
        <v>1624</v>
      </c>
      <c r="V81" s="12">
        <v>168</v>
      </c>
      <c r="W81" s="2">
        <f>W80+Tabla32037[[#This Row],[Incremento]]</f>
        <v>698902.61494397931</v>
      </c>
      <c r="X81" s="2">
        <v>1624</v>
      </c>
      <c r="Y81" s="2"/>
      <c r="Z81" s="12">
        <v>168</v>
      </c>
      <c r="AA81" s="2">
        <f>AA80+Tabla32037[[#This Row],[Incremento]]</f>
        <v>228071.06790501633</v>
      </c>
      <c r="AB81" s="2">
        <v>1624</v>
      </c>
      <c r="AC81" s="2"/>
      <c r="AD81" s="12">
        <v>168</v>
      </c>
      <c r="AE81" s="2">
        <f>AE80+Tabla32037[[#This Row],[Incremento]]</f>
        <v>345710.13581003266</v>
      </c>
      <c r="AF81" s="2">
        <v>1624</v>
      </c>
      <c r="AH81" s="12">
        <v>168</v>
      </c>
      <c r="AI81" s="2">
        <f>AI80+Tabla32037[[#This Row],[Incremento]]</f>
        <v>345710.13581003266</v>
      </c>
      <c r="AJ81" s="2">
        <v>1624</v>
      </c>
      <c r="AM81" s="35">
        <v>168</v>
      </c>
      <c r="AN81" s="10">
        <f>AN80+Tabla32037[[#This Row],[Incremento]]</f>
        <v>439821.39013404562</v>
      </c>
      <c r="AO81" s="10">
        <v>1624</v>
      </c>
      <c r="AQ81" s="12">
        <v>168</v>
      </c>
      <c r="AR81" s="2">
        <f>AR80+Tabla32037[[#This Row],[Incremento]]</f>
        <v>333946.22901953099</v>
      </c>
      <c r="AS81" s="2">
        <v>1624</v>
      </c>
      <c r="AU81" s="12">
        <v>168</v>
      </c>
      <c r="AV81" s="2">
        <f>AV80+Tabla32037[[#This Row],[Incremento]]</f>
        <v>524717.60438719997</v>
      </c>
      <c r="AW81" s="2">
        <v>1624</v>
      </c>
      <c r="AX81" s="2"/>
      <c r="AY81" s="12">
        <v>168</v>
      </c>
      <c r="AZ81" s="2">
        <f>AZ80+Tabla32037[[#This Row],[Incremento]]</f>
        <v>1718740.9533449123</v>
      </c>
      <c r="BA81" s="2">
        <v>1624</v>
      </c>
      <c r="BC81" s="12">
        <v>168</v>
      </c>
      <c r="BD81" s="2">
        <f>BD80+Tabla32037[[#This Row],[Incremento]]</f>
        <v>248527.2014624</v>
      </c>
      <c r="BE81" s="2">
        <v>1624</v>
      </c>
    </row>
    <row r="82" spans="3:57" ht="17" customHeight="1" x14ac:dyDescent="0.2">
      <c r="C82" s="2"/>
      <c r="D82" s="2"/>
      <c r="F82" s="12">
        <v>169</v>
      </c>
      <c r="G82" s="2">
        <f>G81+Tabla32037[[#This Row],[Incremento]]</f>
        <v>354731.8228125</v>
      </c>
      <c r="H82" s="2">
        <v>1624</v>
      </c>
      <c r="J82" s="12">
        <v>169</v>
      </c>
      <c r="K82" s="2">
        <f>K81+Tabla32037[[#This Row],[Incremento]]</f>
        <v>354731.8228125</v>
      </c>
      <c r="L82" s="2">
        <v>1624</v>
      </c>
      <c r="N82" s="12">
        <v>169</v>
      </c>
      <c r="O82" s="2">
        <f>O81+Tabla32037[[#This Row],[Incremento]]</f>
        <v>268927.72655000002</v>
      </c>
      <c r="P82" s="2">
        <v>1624</v>
      </c>
      <c r="R82" s="12">
        <v>169</v>
      </c>
      <c r="S82" s="2">
        <f>S81+Tabla32037[[#This Row],[Incremento]]</f>
        <v>172831.3125</v>
      </c>
      <c r="T82" s="2">
        <v>1624</v>
      </c>
      <c r="V82" s="12">
        <v>169</v>
      </c>
      <c r="W82" s="2">
        <f>W81+Tabla32037[[#This Row],[Incremento]]</f>
        <v>700526.61494397931</v>
      </c>
      <c r="X82" s="2">
        <v>1624</v>
      </c>
      <c r="Y82" s="2"/>
      <c r="Z82" s="12">
        <v>169</v>
      </c>
      <c r="AA82" s="2">
        <f>AA81+Tabla32037[[#This Row],[Incremento]]</f>
        <v>229695.06790501633</v>
      </c>
      <c r="AB82" s="2">
        <v>1624</v>
      </c>
      <c r="AC82" s="2"/>
      <c r="AD82" s="12">
        <v>169</v>
      </c>
      <c r="AE82" s="2">
        <f>AE81+Tabla32037[[#This Row],[Incremento]]</f>
        <v>347334.13581003266</v>
      </c>
      <c r="AF82" s="2">
        <v>1624</v>
      </c>
      <c r="AH82" s="12">
        <v>169</v>
      </c>
      <c r="AI82" s="2">
        <f>AI81+Tabla32037[[#This Row],[Incremento]]</f>
        <v>347334.13581003266</v>
      </c>
      <c r="AJ82" s="2">
        <v>1624</v>
      </c>
      <c r="AM82" s="34">
        <v>169</v>
      </c>
      <c r="AN82" s="32">
        <f>AN81+Tabla32037[[#This Row],[Incremento]]</f>
        <v>441445.39013404562</v>
      </c>
      <c r="AO82" s="32">
        <v>1624</v>
      </c>
      <c r="AQ82" s="12">
        <v>169</v>
      </c>
      <c r="AR82" s="2">
        <f>AR81+Tabla32037[[#This Row],[Incremento]]</f>
        <v>335570.22901953099</v>
      </c>
      <c r="AS82" s="2">
        <v>1624</v>
      </c>
      <c r="AU82" s="12">
        <v>169</v>
      </c>
      <c r="AV82" s="2">
        <f>AV81+Tabla32037[[#This Row],[Incremento]]</f>
        <v>526341.60438719997</v>
      </c>
      <c r="AW82" s="2">
        <v>1624</v>
      </c>
      <c r="AX82" s="2"/>
      <c r="AY82" s="12">
        <v>169</v>
      </c>
      <c r="AZ82" s="2">
        <f>AZ81+Tabla32037[[#This Row],[Incremento]]</f>
        <v>1720364.9533449123</v>
      </c>
      <c r="BA82" s="2">
        <v>1624</v>
      </c>
      <c r="BC82" s="12">
        <v>169</v>
      </c>
      <c r="BD82" s="2">
        <f>BD81+Tabla32037[[#This Row],[Incremento]]</f>
        <v>250151.2014624</v>
      </c>
      <c r="BE82" s="2">
        <v>1624</v>
      </c>
    </row>
    <row r="83" spans="3:57" ht="17" customHeight="1" x14ac:dyDescent="0.2">
      <c r="C83" s="2"/>
      <c r="D83" s="2"/>
      <c r="F83" s="12">
        <v>170</v>
      </c>
      <c r="G83" s="2">
        <f>G82+Tabla32037[[#This Row],[Incremento]]</f>
        <v>356355.8228125</v>
      </c>
      <c r="H83" s="2">
        <v>1624</v>
      </c>
      <c r="J83" s="12">
        <v>170</v>
      </c>
      <c r="K83" s="2">
        <f>K82+Tabla32037[[#This Row],[Incremento]]</f>
        <v>356355.8228125</v>
      </c>
      <c r="L83" s="2">
        <v>1624</v>
      </c>
      <c r="N83" s="12">
        <v>170</v>
      </c>
      <c r="O83" s="2">
        <f>O82+Tabla32037[[#This Row],[Incremento]]</f>
        <v>270551.72655000002</v>
      </c>
      <c r="P83" s="2">
        <v>1624</v>
      </c>
      <c r="R83" s="12">
        <v>170</v>
      </c>
      <c r="S83" s="2">
        <f>S82+Tabla32037[[#This Row],[Incremento]]</f>
        <v>174455.3125</v>
      </c>
      <c r="T83" s="2">
        <v>1624</v>
      </c>
      <c r="V83" s="12">
        <v>170</v>
      </c>
      <c r="W83" s="2">
        <f>W82+Tabla32037[[#This Row],[Incremento]]</f>
        <v>702150.61494397931</v>
      </c>
      <c r="X83" s="2">
        <v>1624</v>
      </c>
      <c r="Y83" s="2"/>
      <c r="Z83" s="12">
        <v>170</v>
      </c>
      <c r="AA83" s="2">
        <f>AA82+Tabla32037[[#This Row],[Incremento]]</f>
        <v>231319.06790501633</v>
      </c>
      <c r="AB83" s="2">
        <v>1624</v>
      </c>
      <c r="AC83" s="2"/>
      <c r="AD83" s="12">
        <v>170</v>
      </c>
      <c r="AE83" s="2">
        <f>AE82+Tabla32037[[#This Row],[Incremento]]</f>
        <v>348958.13581003266</v>
      </c>
      <c r="AF83" s="2">
        <v>1624</v>
      </c>
      <c r="AH83" s="12">
        <v>170</v>
      </c>
      <c r="AI83" s="2">
        <f>AI82+Tabla32037[[#This Row],[Incremento]]</f>
        <v>348958.13581003266</v>
      </c>
      <c r="AJ83" s="2">
        <v>1624</v>
      </c>
      <c r="AM83" s="35">
        <v>170</v>
      </c>
      <c r="AN83" s="10">
        <f>AN82+Tabla32037[[#This Row],[Incremento]]</f>
        <v>443069.39013404562</v>
      </c>
      <c r="AO83" s="10">
        <v>1624</v>
      </c>
      <c r="AQ83" s="12">
        <v>170</v>
      </c>
      <c r="AR83" s="2">
        <f>AR82+Tabla32037[[#This Row],[Incremento]]</f>
        <v>337194.22901953099</v>
      </c>
      <c r="AS83" s="2">
        <v>1624</v>
      </c>
      <c r="AU83" s="12">
        <v>170</v>
      </c>
      <c r="AV83" s="2">
        <f>AV82+Tabla32037[[#This Row],[Incremento]]</f>
        <v>527965.60438719997</v>
      </c>
      <c r="AW83" s="2">
        <v>1624</v>
      </c>
      <c r="AX83" s="2"/>
      <c r="AY83" s="12">
        <v>170</v>
      </c>
      <c r="AZ83" s="2">
        <f>AZ82+Tabla32037[[#This Row],[Incremento]]</f>
        <v>1721988.9533449123</v>
      </c>
      <c r="BA83" s="2">
        <v>1624</v>
      </c>
      <c r="BC83" s="12">
        <v>170</v>
      </c>
      <c r="BD83" s="2">
        <f>BD82+Tabla32037[[#This Row],[Incremento]]</f>
        <v>251775.2014624</v>
      </c>
      <c r="BE83" s="2">
        <v>1624</v>
      </c>
    </row>
    <row r="84" spans="3:57" ht="17" customHeight="1" x14ac:dyDescent="0.2">
      <c r="C84" s="2"/>
      <c r="D84" s="2"/>
      <c r="F84" s="12">
        <v>171</v>
      </c>
      <c r="G84" s="2">
        <f>G83+Tabla32037[[#This Row],[Incremento]]</f>
        <v>357979.8228125</v>
      </c>
      <c r="H84" s="2">
        <v>1624</v>
      </c>
      <c r="J84" s="12">
        <v>171</v>
      </c>
      <c r="K84" s="2">
        <f>K83+Tabla32037[[#This Row],[Incremento]]</f>
        <v>357979.8228125</v>
      </c>
      <c r="L84" s="2">
        <v>1624</v>
      </c>
      <c r="N84" s="12">
        <v>171</v>
      </c>
      <c r="O84" s="2">
        <f>O83+Tabla32037[[#This Row],[Incremento]]</f>
        <v>272175.72655000002</v>
      </c>
      <c r="P84" s="2">
        <v>1624</v>
      </c>
      <c r="R84" s="12">
        <v>171</v>
      </c>
      <c r="S84" s="2">
        <f>S83+Tabla32037[[#This Row],[Incremento]]</f>
        <v>176079.3125</v>
      </c>
      <c r="T84" s="2">
        <v>1624</v>
      </c>
      <c r="V84" s="12">
        <v>171</v>
      </c>
      <c r="W84" s="2">
        <f>W83+Tabla32037[[#This Row],[Incremento]]</f>
        <v>703774.61494397931</v>
      </c>
      <c r="X84" s="2">
        <v>1624</v>
      </c>
      <c r="Y84" s="2"/>
      <c r="Z84" s="12">
        <v>171</v>
      </c>
      <c r="AA84" s="2">
        <f>AA83+Tabla32037[[#This Row],[Incremento]]</f>
        <v>232943.06790501633</v>
      </c>
      <c r="AB84" s="2">
        <v>1624</v>
      </c>
      <c r="AC84" s="2"/>
      <c r="AD84" s="12">
        <v>171</v>
      </c>
      <c r="AE84" s="2">
        <f>AE83+Tabla32037[[#This Row],[Incremento]]</f>
        <v>350582.13581003266</v>
      </c>
      <c r="AF84" s="2">
        <v>1624</v>
      </c>
      <c r="AH84" s="12">
        <v>171</v>
      </c>
      <c r="AI84" s="2">
        <f>AI83+Tabla32037[[#This Row],[Incremento]]</f>
        <v>350582.13581003266</v>
      </c>
      <c r="AJ84" s="2">
        <v>1624</v>
      </c>
      <c r="AM84" s="34">
        <v>171</v>
      </c>
      <c r="AN84" s="32">
        <f>AN83+Tabla32037[[#This Row],[Incremento]]</f>
        <v>444693.39013404562</v>
      </c>
      <c r="AO84" s="32">
        <v>1624</v>
      </c>
      <c r="AQ84" s="12">
        <v>171</v>
      </c>
      <c r="AR84" s="2">
        <f>AR83+Tabla32037[[#This Row],[Incremento]]</f>
        <v>338818.22901953099</v>
      </c>
      <c r="AS84" s="2">
        <v>1624</v>
      </c>
      <c r="AU84" s="12">
        <v>171</v>
      </c>
      <c r="AV84" s="2">
        <f>AV83+Tabla32037[[#This Row],[Incremento]]</f>
        <v>529589.60438719997</v>
      </c>
      <c r="AW84" s="2">
        <v>1624</v>
      </c>
      <c r="AX84" s="2"/>
      <c r="AY84" s="12">
        <v>171</v>
      </c>
      <c r="AZ84" s="2">
        <f>AZ83+Tabla32037[[#This Row],[Incremento]]</f>
        <v>1723612.9533449123</v>
      </c>
      <c r="BA84" s="2">
        <v>1624</v>
      </c>
      <c r="BC84" s="12">
        <v>171</v>
      </c>
      <c r="BD84" s="2">
        <f>BD83+Tabla32037[[#This Row],[Incremento]]</f>
        <v>253399.2014624</v>
      </c>
      <c r="BE84" s="2">
        <v>1624</v>
      </c>
    </row>
    <row r="85" spans="3:57" ht="17" customHeight="1" x14ac:dyDescent="0.2">
      <c r="C85" s="2"/>
      <c r="D85" s="2"/>
      <c r="F85" s="12">
        <v>172</v>
      </c>
      <c r="G85" s="2">
        <f>G84+Tabla32037[[#This Row],[Incremento]]</f>
        <v>359603.8228125</v>
      </c>
      <c r="H85" s="2">
        <v>1624</v>
      </c>
      <c r="J85" s="12">
        <v>172</v>
      </c>
      <c r="K85" s="2">
        <f>K84+Tabla32037[[#This Row],[Incremento]]</f>
        <v>359603.8228125</v>
      </c>
      <c r="L85" s="2">
        <v>1624</v>
      </c>
      <c r="N85" s="12">
        <v>172</v>
      </c>
      <c r="O85" s="2">
        <f>O84+Tabla32037[[#This Row],[Incremento]]</f>
        <v>273799.72655000002</v>
      </c>
      <c r="P85" s="2">
        <v>1624</v>
      </c>
      <c r="R85" s="12">
        <v>172</v>
      </c>
      <c r="S85" s="2">
        <f>S84+Tabla32037[[#This Row],[Incremento]]</f>
        <v>177703.3125</v>
      </c>
      <c r="T85" s="2">
        <v>1624</v>
      </c>
      <c r="V85" s="12">
        <v>172</v>
      </c>
      <c r="W85" s="2">
        <f>W84+Tabla32037[[#This Row],[Incremento]]</f>
        <v>705398.61494397931</v>
      </c>
      <c r="X85" s="2">
        <v>1624</v>
      </c>
      <c r="Y85" s="2"/>
      <c r="Z85" s="12">
        <v>172</v>
      </c>
      <c r="AA85" s="2">
        <f>AA84+Tabla32037[[#This Row],[Incremento]]</f>
        <v>234567.06790501633</v>
      </c>
      <c r="AB85" s="2">
        <v>1624</v>
      </c>
      <c r="AC85" s="2"/>
      <c r="AD85" s="12">
        <v>172</v>
      </c>
      <c r="AE85" s="2">
        <f>AE84+Tabla32037[[#This Row],[Incremento]]</f>
        <v>352206.13581003266</v>
      </c>
      <c r="AF85" s="2">
        <v>1624</v>
      </c>
      <c r="AH85" s="12">
        <v>172</v>
      </c>
      <c r="AI85" s="2">
        <f>AI84+Tabla32037[[#This Row],[Incremento]]</f>
        <v>352206.13581003266</v>
      </c>
      <c r="AJ85" s="2">
        <v>1624</v>
      </c>
      <c r="AM85" s="35">
        <v>172</v>
      </c>
      <c r="AN85" s="10">
        <f>AN84+Tabla32037[[#This Row],[Incremento]]</f>
        <v>446317.39013404562</v>
      </c>
      <c r="AO85" s="10">
        <v>1624</v>
      </c>
      <c r="AQ85" s="12">
        <v>172</v>
      </c>
      <c r="AR85" s="2">
        <f>AR84+Tabla32037[[#This Row],[Incremento]]</f>
        <v>340442.22901953099</v>
      </c>
      <c r="AS85" s="2">
        <v>1624</v>
      </c>
      <c r="AU85" s="12">
        <v>172</v>
      </c>
      <c r="AV85" s="2">
        <f>AV84+Tabla32037[[#This Row],[Incremento]]</f>
        <v>531213.60438719997</v>
      </c>
      <c r="AW85" s="2">
        <v>1624</v>
      </c>
      <c r="AX85" s="2"/>
      <c r="AY85" s="12">
        <v>172</v>
      </c>
      <c r="AZ85" s="2">
        <f>AZ84+Tabla32037[[#This Row],[Incremento]]</f>
        <v>1725236.9533449123</v>
      </c>
      <c r="BA85" s="2">
        <v>1624</v>
      </c>
      <c r="BC85" s="12">
        <v>172</v>
      </c>
      <c r="BD85" s="2">
        <f>BD84+Tabla32037[[#This Row],[Incremento]]</f>
        <v>255023.2014624</v>
      </c>
      <c r="BE85" s="2">
        <v>1624</v>
      </c>
    </row>
    <row r="86" spans="3:57" ht="17" customHeight="1" x14ac:dyDescent="0.2">
      <c r="C86" s="2"/>
      <c r="D86" s="2"/>
      <c r="F86" s="12">
        <v>173</v>
      </c>
      <c r="G86" s="2">
        <f>G85+Tabla32037[[#This Row],[Incremento]]</f>
        <v>361227.8228125</v>
      </c>
      <c r="H86" s="2">
        <v>1624</v>
      </c>
      <c r="J86" s="12">
        <v>173</v>
      </c>
      <c r="K86" s="2">
        <f>K85+Tabla32037[[#This Row],[Incremento]]</f>
        <v>361227.8228125</v>
      </c>
      <c r="L86" s="2">
        <v>1624</v>
      </c>
      <c r="N86" s="12">
        <v>173</v>
      </c>
      <c r="O86" s="2">
        <f>O85+Tabla32037[[#This Row],[Incremento]]</f>
        <v>275423.72655000002</v>
      </c>
      <c r="P86" s="2">
        <v>1624</v>
      </c>
      <c r="R86" s="12">
        <v>173</v>
      </c>
      <c r="S86" s="2">
        <f>S85+Tabla32037[[#This Row],[Incremento]]</f>
        <v>179327.3125</v>
      </c>
      <c r="T86" s="2">
        <v>1624</v>
      </c>
      <c r="V86" s="12">
        <v>173</v>
      </c>
      <c r="W86" s="2">
        <f>W85+Tabla32037[[#This Row],[Incremento]]</f>
        <v>707022.61494397931</v>
      </c>
      <c r="X86" s="2">
        <v>1624</v>
      </c>
      <c r="Y86" s="2"/>
      <c r="Z86" s="12">
        <v>173</v>
      </c>
      <c r="AA86" s="2">
        <f>AA85+Tabla32037[[#This Row],[Incremento]]</f>
        <v>236191.06790501633</v>
      </c>
      <c r="AB86" s="2">
        <v>1624</v>
      </c>
      <c r="AC86" s="2"/>
      <c r="AD86" s="12">
        <v>173</v>
      </c>
      <c r="AE86" s="2">
        <f>AE85+Tabla32037[[#This Row],[Incremento]]</f>
        <v>353830.13581003266</v>
      </c>
      <c r="AF86" s="2">
        <v>1624</v>
      </c>
      <c r="AH86" s="12">
        <v>173</v>
      </c>
      <c r="AI86" s="2">
        <f>AI85+Tabla32037[[#This Row],[Incremento]]</f>
        <v>353830.13581003266</v>
      </c>
      <c r="AJ86" s="2">
        <v>1624</v>
      </c>
      <c r="AM86" s="34">
        <v>173</v>
      </c>
      <c r="AN86" s="32">
        <f>AN85+Tabla32037[[#This Row],[Incremento]]</f>
        <v>447941.39013404562</v>
      </c>
      <c r="AO86" s="32">
        <v>1624</v>
      </c>
      <c r="AQ86" s="12">
        <v>173</v>
      </c>
      <c r="AR86" s="2">
        <f>AR85+Tabla32037[[#This Row],[Incremento]]</f>
        <v>342066.22901953099</v>
      </c>
      <c r="AS86" s="2">
        <v>1624</v>
      </c>
      <c r="AU86" s="12">
        <v>173</v>
      </c>
      <c r="AV86" s="2">
        <f>AV85+Tabla32037[[#This Row],[Incremento]]</f>
        <v>532837.60438719997</v>
      </c>
      <c r="AW86" s="2">
        <v>1624</v>
      </c>
      <c r="AX86" s="2"/>
      <c r="AY86" s="12">
        <v>173</v>
      </c>
      <c r="AZ86" s="2">
        <f>AZ85+Tabla32037[[#This Row],[Incremento]]</f>
        <v>1726860.9533449123</v>
      </c>
      <c r="BA86" s="2">
        <v>1624</v>
      </c>
      <c r="BC86" s="12">
        <v>173</v>
      </c>
      <c r="BD86" s="2">
        <f>BD85+Tabla32037[[#This Row],[Incremento]]</f>
        <v>256647.2014624</v>
      </c>
      <c r="BE86" s="2">
        <v>1624</v>
      </c>
    </row>
    <row r="87" spans="3:57" ht="17" customHeight="1" x14ac:dyDescent="0.2">
      <c r="C87" s="2"/>
      <c r="D87" s="2"/>
      <c r="F87" s="12">
        <v>174</v>
      </c>
      <c r="G87" s="2">
        <f>G86+Tabla32037[[#This Row],[Incremento]]</f>
        <v>362851.8228125</v>
      </c>
      <c r="H87" s="2">
        <v>1624</v>
      </c>
      <c r="J87" s="12">
        <v>174</v>
      </c>
      <c r="K87" s="2">
        <f>K86+Tabla32037[[#This Row],[Incremento]]</f>
        <v>362851.8228125</v>
      </c>
      <c r="L87" s="2">
        <v>1624</v>
      </c>
      <c r="N87" s="12">
        <v>174</v>
      </c>
      <c r="O87" s="2">
        <f>O86+Tabla32037[[#This Row],[Incremento]]</f>
        <v>277047.72655000002</v>
      </c>
      <c r="P87" s="2">
        <v>1624</v>
      </c>
      <c r="R87" s="12">
        <v>174</v>
      </c>
      <c r="S87" s="2">
        <f>S86+Tabla32037[[#This Row],[Incremento]]</f>
        <v>180951.3125</v>
      </c>
      <c r="T87" s="2">
        <v>1624</v>
      </c>
      <c r="V87" s="12">
        <v>174</v>
      </c>
      <c r="W87" s="2">
        <f>W86+Tabla32037[[#This Row],[Incremento]]</f>
        <v>708646.61494397931</v>
      </c>
      <c r="X87" s="2">
        <v>1624</v>
      </c>
      <c r="Y87" s="2"/>
      <c r="Z87" s="12">
        <v>174</v>
      </c>
      <c r="AA87" s="2">
        <f>AA86+Tabla32037[[#This Row],[Incremento]]</f>
        <v>237815.06790501633</v>
      </c>
      <c r="AB87" s="2">
        <v>1624</v>
      </c>
      <c r="AC87" s="2"/>
      <c r="AD87" s="12">
        <v>174</v>
      </c>
      <c r="AE87" s="2">
        <f>AE86+Tabla32037[[#This Row],[Incremento]]</f>
        <v>355454.13581003266</v>
      </c>
      <c r="AF87" s="2">
        <v>1624</v>
      </c>
      <c r="AH87" s="12">
        <v>174</v>
      </c>
      <c r="AI87" s="2">
        <f>AI86+Tabla32037[[#This Row],[Incremento]]</f>
        <v>355454.13581003266</v>
      </c>
      <c r="AJ87" s="2">
        <v>1624</v>
      </c>
      <c r="AM87" s="35">
        <v>174</v>
      </c>
      <c r="AN87" s="10">
        <f>AN86+Tabla32037[[#This Row],[Incremento]]</f>
        <v>449565.39013404562</v>
      </c>
      <c r="AO87" s="10">
        <v>1624</v>
      </c>
      <c r="AQ87" s="12">
        <v>174</v>
      </c>
      <c r="AR87" s="2">
        <f>AR86+Tabla32037[[#This Row],[Incremento]]</f>
        <v>343690.22901953099</v>
      </c>
      <c r="AS87" s="2">
        <v>1624</v>
      </c>
      <c r="AU87" s="12">
        <v>174</v>
      </c>
      <c r="AV87" s="2">
        <f>AV86+Tabla32037[[#This Row],[Incremento]]</f>
        <v>534461.60438719997</v>
      </c>
      <c r="AW87" s="2">
        <v>1624</v>
      </c>
      <c r="AX87" s="2"/>
      <c r="AY87" s="12">
        <v>174</v>
      </c>
      <c r="AZ87" s="2">
        <f>AZ86+Tabla32037[[#This Row],[Incremento]]</f>
        <v>1728484.9533449123</v>
      </c>
      <c r="BA87" s="2">
        <v>1624</v>
      </c>
      <c r="BC87" s="12">
        <v>174</v>
      </c>
      <c r="BD87" s="2">
        <f>BD86+Tabla32037[[#This Row],[Incremento]]</f>
        <v>258271.2014624</v>
      </c>
      <c r="BE87" s="2">
        <v>1624</v>
      </c>
    </row>
    <row r="88" spans="3:57" ht="17" customHeight="1" x14ac:dyDescent="0.2">
      <c r="C88" s="2"/>
      <c r="D88" s="2"/>
      <c r="F88" s="12">
        <v>175</v>
      </c>
      <c r="G88" s="2">
        <f>G87+Tabla32037[[#This Row],[Incremento]]</f>
        <v>364475.8228125</v>
      </c>
      <c r="H88" s="2">
        <v>1624</v>
      </c>
      <c r="J88" s="12">
        <v>175</v>
      </c>
      <c r="K88" s="2">
        <f>K87+Tabla32037[[#This Row],[Incremento]]</f>
        <v>364475.8228125</v>
      </c>
      <c r="L88" s="2">
        <v>1624</v>
      </c>
      <c r="N88" s="12">
        <v>175</v>
      </c>
      <c r="O88" s="2">
        <f>O87+Tabla32037[[#This Row],[Incremento]]</f>
        <v>278671.72655000002</v>
      </c>
      <c r="P88" s="2">
        <v>1624</v>
      </c>
      <c r="R88" s="12">
        <v>175</v>
      </c>
      <c r="S88" s="2">
        <f>S87+Tabla32037[[#This Row],[Incremento]]</f>
        <v>182575.3125</v>
      </c>
      <c r="T88" s="2">
        <v>1624</v>
      </c>
      <c r="V88" s="12">
        <v>175</v>
      </c>
      <c r="W88" s="2">
        <f>W87+Tabla32037[[#This Row],[Incremento]]</f>
        <v>710270.61494397931</v>
      </c>
      <c r="X88" s="2">
        <v>1624</v>
      </c>
      <c r="Y88" s="2"/>
      <c r="Z88" s="12">
        <v>175</v>
      </c>
      <c r="AA88" s="2">
        <f>AA87+Tabla32037[[#This Row],[Incremento]]</f>
        <v>239439.06790501633</v>
      </c>
      <c r="AB88" s="2">
        <v>1624</v>
      </c>
      <c r="AC88" s="2"/>
      <c r="AD88" s="12">
        <v>175</v>
      </c>
      <c r="AE88" s="2">
        <f>AE87+Tabla32037[[#This Row],[Incremento]]</f>
        <v>357078.13581003266</v>
      </c>
      <c r="AF88" s="2">
        <v>1624</v>
      </c>
      <c r="AH88" s="12">
        <v>175</v>
      </c>
      <c r="AI88" s="2">
        <f>AI87+Tabla32037[[#This Row],[Incremento]]</f>
        <v>357078.13581003266</v>
      </c>
      <c r="AJ88" s="2">
        <v>1624</v>
      </c>
      <c r="AM88" s="34">
        <v>175</v>
      </c>
      <c r="AN88" s="32">
        <f>AN87+Tabla32037[[#This Row],[Incremento]]</f>
        <v>451189.39013404562</v>
      </c>
      <c r="AO88" s="32">
        <v>1624</v>
      </c>
      <c r="AQ88" s="12">
        <v>175</v>
      </c>
      <c r="AR88" s="2">
        <f>AR87+Tabla32037[[#This Row],[Incremento]]</f>
        <v>345314.22901953099</v>
      </c>
      <c r="AS88" s="2">
        <v>1624</v>
      </c>
      <c r="AU88" s="12">
        <v>175</v>
      </c>
      <c r="AV88" s="2">
        <f>AV87+Tabla32037[[#This Row],[Incremento]]</f>
        <v>536085.60438719997</v>
      </c>
      <c r="AW88" s="2">
        <v>1624</v>
      </c>
      <c r="AX88" s="2"/>
      <c r="AY88" s="12">
        <v>175</v>
      </c>
      <c r="AZ88" s="2">
        <f>AZ87+Tabla32037[[#This Row],[Incremento]]</f>
        <v>1730108.9533449123</v>
      </c>
      <c r="BA88" s="2">
        <v>1624</v>
      </c>
      <c r="BC88" s="12">
        <v>175</v>
      </c>
      <c r="BD88" s="2">
        <f>BD87+Tabla32037[[#This Row],[Incremento]]</f>
        <v>259895.2014624</v>
      </c>
      <c r="BE88" s="2">
        <v>1624</v>
      </c>
    </row>
    <row r="89" spans="3:57" ht="17" customHeight="1" x14ac:dyDescent="0.2">
      <c r="C89" s="2"/>
      <c r="D89" s="2"/>
      <c r="F89" s="12">
        <v>176</v>
      </c>
      <c r="G89" s="2">
        <f>G88+Tabla32037[[#This Row],[Incremento]]</f>
        <v>366099.8228125</v>
      </c>
      <c r="H89" s="2">
        <v>1624</v>
      </c>
      <c r="J89" s="12">
        <v>176</v>
      </c>
      <c r="K89" s="2">
        <f>K88+Tabla32037[[#This Row],[Incremento]]</f>
        <v>366099.8228125</v>
      </c>
      <c r="L89" s="2">
        <v>1624</v>
      </c>
      <c r="N89" s="12">
        <v>176</v>
      </c>
      <c r="O89" s="2">
        <f>O88+Tabla32037[[#This Row],[Incremento]]</f>
        <v>280295.72655000002</v>
      </c>
      <c r="P89" s="2">
        <v>1624</v>
      </c>
      <c r="R89" s="12">
        <v>176</v>
      </c>
      <c r="S89" s="2">
        <f>S88+Tabla32037[[#This Row],[Incremento]]</f>
        <v>184199.3125</v>
      </c>
      <c r="T89" s="2">
        <v>1624</v>
      </c>
      <c r="V89" s="12">
        <v>176</v>
      </c>
      <c r="W89" s="2">
        <f>W88+Tabla32037[[#This Row],[Incremento]]</f>
        <v>711894.61494397931</v>
      </c>
      <c r="X89" s="2">
        <v>1624</v>
      </c>
      <c r="Y89" s="2"/>
      <c r="Z89" s="12">
        <v>176</v>
      </c>
      <c r="AA89" s="2">
        <f>AA88+Tabla32037[[#This Row],[Incremento]]</f>
        <v>241063.06790501633</v>
      </c>
      <c r="AB89" s="2">
        <v>1624</v>
      </c>
      <c r="AC89" s="2"/>
      <c r="AD89" s="12">
        <v>176</v>
      </c>
      <c r="AE89" s="2">
        <f>AE88+Tabla32037[[#This Row],[Incremento]]</f>
        <v>358702.13581003266</v>
      </c>
      <c r="AF89" s="2">
        <v>1624</v>
      </c>
      <c r="AH89" s="12">
        <v>176</v>
      </c>
      <c r="AI89" s="2">
        <f>AI88+Tabla32037[[#This Row],[Incremento]]</f>
        <v>358702.13581003266</v>
      </c>
      <c r="AJ89" s="2">
        <v>1624</v>
      </c>
      <c r="AM89" s="35">
        <v>176</v>
      </c>
      <c r="AN89" s="10">
        <f>AN88+Tabla32037[[#This Row],[Incremento]]</f>
        <v>452813.39013404562</v>
      </c>
      <c r="AO89" s="10">
        <v>1624</v>
      </c>
      <c r="AQ89" s="12">
        <v>176</v>
      </c>
      <c r="AR89" s="2">
        <f>AR88+Tabla32037[[#This Row],[Incremento]]</f>
        <v>346938.22901953099</v>
      </c>
      <c r="AS89" s="2">
        <v>1624</v>
      </c>
      <c r="AU89" s="12">
        <v>176</v>
      </c>
      <c r="AV89" s="2">
        <f>AV88+Tabla32037[[#This Row],[Incremento]]</f>
        <v>537709.60438719997</v>
      </c>
      <c r="AW89" s="2">
        <v>1624</v>
      </c>
      <c r="AX89" s="2"/>
      <c r="AY89" s="12">
        <v>176</v>
      </c>
      <c r="AZ89" s="2">
        <f>AZ88+Tabla32037[[#This Row],[Incremento]]</f>
        <v>1731732.9533449123</v>
      </c>
      <c r="BA89" s="2">
        <v>1624</v>
      </c>
      <c r="BC89" s="12">
        <v>176</v>
      </c>
      <c r="BD89" s="2">
        <f>BD88+Tabla32037[[#This Row],[Incremento]]</f>
        <v>261519.2014624</v>
      </c>
      <c r="BE89" s="2">
        <v>1624</v>
      </c>
    </row>
    <row r="90" spans="3:57" ht="17" customHeight="1" x14ac:dyDescent="0.2">
      <c r="C90" s="2"/>
      <c r="D90" s="2"/>
      <c r="F90" s="12">
        <v>177</v>
      </c>
      <c r="G90" s="2">
        <f>G89+Tabla32037[[#This Row],[Incremento]]</f>
        <v>367723.8228125</v>
      </c>
      <c r="H90" s="2">
        <v>1624</v>
      </c>
      <c r="J90" s="12">
        <v>177</v>
      </c>
      <c r="K90" s="2">
        <f>K89+Tabla32037[[#This Row],[Incremento]]</f>
        <v>367723.8228125</v>
      </c>
      <c r="L90" s="2">
        <v>1624</v>
      </c>
      <c r="N90" s="12">
        <v>177</v>
      </c>
      <c r="O90" s="2">
        <f>O89+Tabla32037[[#This Row],[Incremento]]</f>
        <v>281919.72655000002</v>
      </c>
      <c r="P90" s="2">
        <v>1624</v>
      </c>
      <c r="R90" s="12">
        <v>177</v>
      </c>
      <c r="S90" s="2">
        <f>S89+Tabla32037[[#This Row],[Incremento]]</f>
        <v>185823.3125</v>
      </c>
      <c r="T90" s="2">
        <v>1624</v>
      </c>
      <c r="V90" s="12">
        <v>177</v>
      </c>
      <c r="W90" s="2">
        <f>W89+Tabla32037[[#This Row],[Incremento]]</f>
        <v>713518.61494397931</v>
      </c>
      <c r="X90" s="2">
        <v>1624</v>
      </c>
      <c r="Y90" s="2"/>
      <c r="Z90" s="12">
        <v>177</v>
      </c>
      <c r="AA90" s="2">
        <f>AA89+Tabla32037[[#This Row],[Incremento]]</f>
        <v>242687.06790501633</v>
      </c>
      <c r="AB90" s="2">
        <v>1624</v>
      </c>
      <c r="AC90" s="2"/>
      <c r="AD90" s="12">
        <v>177</v>
      </c>
      <c r="AE90" s="2">
        <f>AE89+Tabla32037[[#This Row],[Incremento]]</f>
        <v>360326.13581003266</v>
      </c>
      <c r="AF90" s="2">
        <v>1624</v>
      </c>
      <c r="AH90" s="12">
        <v>177</v>
      </c>
      <c r="AI90" s="2">
        <f>AI89+Tabla32037[[#This Row],[Incremento]]</f>
        <v>360326.13581003266</v>
      </c>
      <c r="AJ90" s="2">
        <v>1624</v>
      </c>
      <c r="AM90" s="34">
        <v>177</v>
      </c>
      <c r="AN90" s="32">
        <f>AN89+Tabla32037[[#This Row],[Incremento]]</f>
        <v>454437.39013404562</v>
      </c>
      <c r="AO90" s="32">
        <v>1624</v>
      </c>
      <c r="AQ90" s="12">
        <v>177</v>
      </c>
      <c r="AR90" s="2">
        <f>AR89+Tabla32037[[#This Row],[Incremento]]</f>
        <v>348562.22901953099</v>
      </c>
      <c r="AS90" s="2">
        <v>1624</v>
      </c>
      <c r="AU90" s="12">
        <v>177</v>
      </c>
      <c r="AV90" s="2">
        <f>AV89+Tabla32037[[#This Row],[Incremento]]</f>
        <v>539333.60438719997</v>
      </c>
      <c r="AW90" s="2">
        <v>1624</v>
      </c>
      <c r="AX90" s="2"/>
      <c r="AY90" s="12">
        <v>177</v>
      </c>
      <c r="AZ90" s="2">
        <f>AZ89+Tabla32037[[#This Row],[Incremento]]</f>
        <v>1733356.9533449123</v>
      </c>
      <c r="BA90" s="2">
        <v>1624</v>
      </c>
      <c r="BC90" s="12">
        <v>177</v>
      </c>
      <c r="BD90" s="2">
        <f>BD89+Tabla32037[[#This Row],[Incremento]]</f>
        <v>263143.20146240003</v>
      </c>
      <c r="BE90" s="2">
        <v>1624</v>
      </c>
    </row>
    <row r="91" spans="3:57" ht="17" customHeight="1" x14ac:dyDescent="0.2">
      <c r="C91" s="2"/>
      <c r="D91" s="2"/>
      <c r="F91" s="12">
        <v>178</v>
      </c>
      <c r="G91" s="2">
        <f>G90+Tabla32037[[#This Row],[Incremento]]</f>
        <v>369347.8228125</v>
      </c>
      <c r="H91" s="2">
        <v>1624</v>
      </c>
      <c r="J91" s="12">
        <v>178</v>
      </c>
      <c r="K91" s="2">
        <f>K90+Tabla32037[[#This Row],[Incremento]]</f>
        <v>369347.8228125</v>
      </c>
      <c r="L91" s="2">
        <v>1624</v>
      </c>
      <c r="N91" s="12">
        <v>178</v>
      </c>
      <c r="O91" s="2">
        <f>O90+Tabla32037[[#This Row],[Incremento]]</f>
        <v>283543.72655000002</v>
      </c>
      <c r="P91" s="2">
        <v>1624</v>
      </c>
      <c r="R91" s="12">
        <v>178</v>
      </c>
      <c r="S91" s="2">
        <f>S90+Tabla32037[[#This Row],[Incremento]]</f>
        <v>187447.3125</v>
      </c>
      <c r="T91" s="2">
        <v>1624</v>
      </c>
      <c r="V91" s="12">
        <v>178</v>
      </c>
      <c r="W91" s="2">
        <f>W90+Tabla32037[[#This Row],[Incremento]]</f>
        <v>715142.61494397931</v>
      </c>
      <c r="X91" s="2">
        <v>1624</v>
      </c>
      <c r="Y91" s="2"/>
      <c r="Z91" s="12">
        <v>178</v>
      </c>
      <c r="AA91" s="2">
        <f>AA90+Tabla32037[[#This Row],[Incremento]]</f>
        <v>244311.06790501633</v>
      </c>
      <c r="AB91" s="2">
        <v>1624</v>
      </c>
      <c r="AC91" s="2"/>
      <c r="AD91" s="12">
        <v>178</v>
      </c>
      <c r="AE91" s="2">
        <f>AE90+Tabla32037[[#This Row],[Incremento]]</f>
        <v>361950.13581003266</v>
      </c>
      <c r="AF91" s="2">
        <v>1624</v>
      </c>
      <c r="AH91" s="12">
        <v>178</v>
      </c>
      <c r="AI91" s="2">
        <f>AI90+Tabla32037[[#This Row],[Incremento]]</f>
        <v>361950.13581003266</v>
      </c>
      <c r="AJ91" s="2">
        <v>1624</v>
      </c>
      <c r="AM91" s="35">
        <v>178</v>
      </c>
      <c r="AN91" s="10">
        <f>AN90+Tabla32037[[#This Row],[Incremento]]</f>
        <v>456061.39013404562</v>
      </c>
      <c r="AO91" s="10">
        <v>1624</v>
      </c>
      <c r="AQ91" s="12">
        <v>178</v>
      </c>
      <c r="AR91" s="2">
        <f>AR90+Tabla32037[[#This Row],[Incremento]]</f>
        <v>350186.22901953099</v>
      </c>
      <c r="AS91" s="2">
        <v>1624</v>
      </c>
      <c r="AU91" s="12">
        <v>178</v>
      </c>
      <c r="AV91" s="2">
        <f>AV90+Tabla32037[[#This Row],[Incremento]]</f>
        <v>540957.60438719997</v>
      </c>
      <c r="AW91" s="2">
        <v>1624</v>
      </c>
      <c r="AX91" s="2"/>
      <c r="AY91" s="12">
        <v>178</v>
      </c>
      <c r="AZ91" s="2">
        <f>AZ90+Tabla32037[[#This Row],[Incremento]]</f>
        <v>1734980.9533449123</v>
      </c>
      <c r="BA91" s="2">
        <v>1624</v>
      </c>
      <c r="BC91" s="12">
        <v>178</v>
      </c>
      <c r="BD91" s="2">
        <f>BD90+Tabla32037[[#This Row],[Incremento]]</f>
        <v>264767.20146240003</v>
      </c>
      <c r="BE91" s="2">
        <v>1624</v>
      </c>
    </row>
    <row r="92" spans="3:57" ht="17" customHeight="1" x14ac:dyDescent="0.2">
      <c r="C92" s="2"/>
      <c r="D92" s="2"/>
      <c r="F92" s="12">
        <v>179</v>
      </c>
      <c r="G92" s="2">
        <f>G91+Tabla32037[[#This Row],[Incremento]]</f>
        <v>370971.8228125</v>
      </c>
      <c r="H92" s="2">
        <v>1624</v>
      </c>
      <c r="J92" s="12">
        <v>179</v>
      </c>
      <c r="K92" s="2">
        <f>K91+Tabla32037[[#This Row],[Incremento]]</f>
        <v>370971.8228125</v>
      </c>
      <c r="L92" s="2">
        <v>1624</v>
      </c>
      <c r="N92" s="12">
        <v>179</v>
      </c>
      <c r="O92" s="2">
        <f>O91+Tabla32037[[#This Row],[Incremento]]</f>
        <v>285167.72655000002</v>
      </c>
      <c r="P92" s="2">
        <v>1624</v>
      </c>
      <c r="R92" s="12">
        <v>179</v>
      </c>
      <c r="S92" s="2">
        <f>S91+Tabla32037[[#This Row],[Incremento]]</f>
        <v>189071.3125</v>
      </c>
      <c r="T92" s="2">
        <v>1624</v>
      </c>
      <c r="V92" s="12">
        <v>179</v>
      </c>
      <c r="W92" s="2">
        <f>W91+Tabla32037[[#This Row],[Incremento]]</f>
        <v>716766.61494397931</v>
      </c>
      <c r="X92" s="2">
        <v>1624</v>
      </c>
      <c r="Y92" s="2"/>
      <c r="Z92" s="12">
        <v>179</v>
      </c>
      <c r="AA92" s="2">
        <f>AA91+Tabla32037[[#This Row],[Incremento]]</f>
        <v>245935.06790501633</v>
      </c>
      <c r="AB92" s="2">
        <v>1624</v>
      </c>
      <c r="AC92" s="2"/>
      <c r="AD92" s="12">
        <v>179</v>
      </c>
      <c r="AE92" s="2">
        <f>AE91+Tabla32037[[#This Row],[Incremento]]</f>
        <v>363574.13581003266</v>
      </c>
      <c r="AF92" s="2">
        <v>1624</v>
      </c>
      <c r="AH92" s="12">
        <v>179</v>
      </c>
      <c r="AI92" s="2">
        <f>AI91+Tabla32037[[#This Row],[Incremento]]</f>
        <v>363574.13581003266</v>
      </c>
      <c r="AJ92" s="2">
        <v>1624</v>
      </c>
      <c r="AM92" s="34">
        <v>179</v>
      </c>
      <c r="AN92" s="32">
        <f>AN91+Tabla32037[[#This Row],[Incremento]]</f>
        <v>457685.39013404562</v>
      </c>
      <c r="AO92" s="32">
        <v>1624</v>
      </c>
      <c r="AQ92" s="12">
        <v>179</v>
      </c>
      <c r="AR92" s="2">
        <f>AR91+Tabla32037[[#This Row],[Incremento]]</f>
        <v>351810.22901953099</v>
      </c>
      <c r="AS92" s="2">
        <v>1624</v>
      </c>
      <c r="AU92" s="12">
        <v>179</v>
      </c>
      <c r="AV92" s="2">
        <f>AV91+Tabla32037[[#This Row],[Incremento]]</f>
        <v>542581.60438719997</v>
      </c>
      <c r="AW92" s="2">
        <v>1624</v>
      </c>
      <c r="AX92" s="2"/>
      <c r="AY92" s="12">
        <v>179</v>
      </c>
      <c r="AZ92" s="2">
        <f>AZ91+Tabla32037[[#This Row],[Incremento]]</f>
        <v>1736604.9533449123</v>
      </c>
      <c r="BA92" s="2">
        <v>1624</v>
      </c>
      <c r="BC92" s="12">
        <v>179</v>
      </c>
      <c r="BD92" s="2">
        <f>BD91+Tabla32037[[#This Row],[Incremento]]</f>
        <v>266391.20146240003</v>
      </c>
      <c r="BE92" s="2">
        <v>1624</v>
      </c>
    </row>
    <row r="93" spans="3:57" ht="17" customHeight="1" x14ac:dyDescent="0.2">
      <c r="C93" s="2"/>
      <c r="D93" s="2"/>
      <c r="F93" s="12">
        <v>180</v>
      </c>
      <c r="G93" s="2">
        <f>G92+Tabla32037[[#This Row],[Incremento]]</f>
        <v>372595.8228125</v>
      </c>
      <c r="H93" s="2">
        <v>1624</v>
      </c>
      <c r="J93" s="12">
        <v>180</v>
      </c>
      <c r="K93" s="2">
        <f>K92+Tabla32037[[#This Row],[Incremento]]</f>
        <v>372595.8228125</v>
      </c>
      <c r="L93" s="2">
        <v>1624</v>
      </c>
      <c r="N93" s="12">
        <v>180</v>
      </c>
      <c r="O93" s="2">
        <f>O92+Tabla32037[[#This Row],[Incremento]]</f>
        <v>286791.72655000002</v>
      </c>
      <c r="P93" s="2">
        <v>1624</v>
      </c>
      <c r="R93" s="12">
        <v>180</v>
      </c>
      <c r="S93" s="2">
        <f>S92+Tabla32037[[#This Row],[Incremento]]</f>
        <v>190695.3125</v>
      </c>
      <c r="T93" s="2">
        <v>1624</v>
      </c>
      <c r="V93" s="12">
        <v>180</v>
      </c>
      <c r="W93" s="2">
        <f>W92+Tabla32037[[#This Row],[Incremento]]</f>
        <v>718390.61494397931</v>
      </c>
      <c r="X93" s="2">
        <v>1624</v>
      </c>
      <c r="Y93" s="2"/>
      <c r="Z93" s="12">
        <v>180</v>
      </c>
      <c r="AA93" s="2">
        <f>AA92+Tabla32037[[#This Row],[Incremento]]</f>
        <v>247559.06790501633</v>
      </c>
      <c r="AB93" s="2">
        <v>1624</v>
      </c>
      <c r="AC93" s="2"/>
      <c r="AD93" s="12">
        <v>180</v>
      </c>
      <c r="AE93" s="2">
        <f>AE92+Tabla32037[[#This Row],[Incremento]]</f>
        <v>365198.13581003266</v>
      </c>
      <c r="AF93" s="2">
        <v>1624</v>
      </c>
      <c r="AH93" s="12">
        <v>180</v>
      </c>
      <c r="AI93" s="2">
        <f>AI92+Tabla32037[[#This Row],[Incremento]]</f>
        <v>365198.13581003266</v>
      </c>
      <c r="AJ93" s="2">
        <v>1624</v>
      </c>
      <c r="AM93" s="35">
        <v>180</v>
      </c>
      <c r="AN93" s="10">
        <f>AN92+Tabla32037[[#This Row],[Incremento]]</f>
        <v>459309.39013404562</v>
      </c>
      <c r="AO93" s="10">
        <v>1624</v>
      </c>
      <c r="AQ93" s="12">
        <v>180</v>
      </c>
      <c r="AR93" s="2">
        <f>AR92+Tabla32037[[#This Row],[Incremento]]</f>
        <v>353434.22901953099</v>
      </c>
      <c r="AS93" s="2">
        <v>1624</v>
      </c>
      <c r="AU93" s="12">
        <v>180</v>
      </c>
      <c r="AV93" s="2">
        <f>AV92+Tabla32037[[#This Row],[Incremento]]</f>
        <v>544205.60438719997</v>
      </c>
      <c r="AW93" s="2">
        <v>1624</v>
      </c>
      <c r="AX93" s="2"/>
      <c r="AY93" s="12">
        <v>180</v>
      </c>
      <c r="AZ93" s="2">
        <f>AZ92+Tabla32037[[#This Row],[Incremento]]</f>
        <v>1738228.9533449123</v>
      </c>
      <c r="BA93" s="2">
        <v>1624</v>
      </c>
      <c r="BC93" s="12">
        <v>180</v>
      </c>
      <c r="BD93" s="2">
        <f>BD92+Tabla32037[[#This Row],[Incremento]]</f>
        <v>268015.20146240003</v>
      </c>
      <c r="BE93" s="2">
        <v>1624</v>
      </c>
    </row>
    <row r="94" spans="3:57" ht="17" customHeight="1" x14ac:dyDescent="0.2">
      <c r="C94" s="2"/>
      <c r="D94" s="2"/>
      <c r="F94" s="12">
        <v>181</v>
      </c>
      <c r="G94" s="2">
        <f>G93+Tabla32037[[#This Row],[Incremento]]</f>
        <v>374219.8228125</v>
      </c>
      <c r="H94" s="2">
        <v>1624</v>
      </c>
      <c r="J94" s="12">
        <v>181</v>
      </c>
      <c r="K94" s="2">
        <f>K93+Tabla32037[[#This Row],[Incremento]]</f>
        <v>374219.8228125</v>
      </c>
      <c r="L94" s="2">
        <v>1624</v>
      </c>
      <c r="N94" s="12">
        <v>181</v>
      </c>
      <c r="O94" s="2">
        <f>O93+Tabla32037[[#This Row],[Incremento]]</f>
        <v>288415.72655000002</v>
      </c>
      <c r="P94" s="2">
        <v>1624</v>
      </c>
      <c r="R94" s="12">
        <v>181</v>
      </c>
      <c r="S94" s="2">
        <f>S93+Tabla32037[[#This Row],[Incremento]]</f>
        <v>192319.3125</v>
      </c>
      <c r="T94" s="2">
        <v>1624</v>
      </c>
      <c r="V94" s="12">
        <v>181</v>
      </c>
      <c r="W94" s="2">
        <f>W93+Tabla32037[[#This Row],[Incremento]]</f>
        <v>720014.61494397931</v>
      </c>
      <c r="X94" s="2">
        <v>1624</v>
      </c>
      <c r="Y94" s="2"/>
      <c r="Z94" s="12">
        <v>181</v>
      </c>
      <c r="AA94" s="2">
        <f>AA93+Tabla32037[[#This Row],[Incremento]]</f>
        <v>249183.06790501633</v>
      </c>
      <c r="AB94" s="2">
        <v>1624</v>
      </c>
      <c r="AC94" s="2"/>
      <c r="AD94" s="12">
        <v>181</v>
      </c>
      <c r="AE94" s="2">
        <f>AE93+Tabla32037[[#This Row],[Incremento]]</f>
        <v>366822.13581003266</v>
      </c>
      <c r="AF94" s="2">
        <v>1624</v>
      </c>
      <c r="AH94" s="12">
        <v>181</v>
      </c>
      <c r="AI94" s="2">
        <f>AI93+Tabla32037[[#This Row],[Incremento]]</f>
        <v>366822.13581003266</v>
      </c>
      <c r="AJ94" s="2">
        <v>1624</v>
      </c>
      <c r="AM94" s="34">
        <v>181</v>
      </c>
      <c r="AN94" s="32">
        <f>AN93+Tabla32037[[#This Row],[Incremento]]</f>
        <v>460933.39013404562</v>
      </c>
      <c r="AO94" s="32">
        <v>1624</v>
      </c>
      <c r="AQ94" s="12">
        <v>181</v>
      </c>
      <c r="AR94" s="2">
        <f>AR93+Tabla32037[[#This Row],[Incremento]]</f>
        <v>355058.22901953099</v>
      </c>
      <c r="AS94" s="2">
        <v>1624</v>
      </c>
      <c r="AU94" s="12">
        <v>181</v>
      </c>
      <c r="AV94" s="2">
        <f>AV93+Tabla32037[[#This Row],[Incremento]]</f>
        <v>545829.60438719997</v>
      </c>
      <c r="AW94" s="2">
        <v>1624</v>
      </c>
      <c r="AX94" s="2"/>
      <c r="AY94" s="12">
        <v>181</v>
      </c>
      <c r="AZ94" s="2">
        <f>AZ93+Tabla32037[[#This Row],[Incremento]]</f>
        <v>1739852.9533449123</v>
      </c>
      <c r="BA94" s="2">
        <v>1624</v>
      </c>
      <c r="BC94" s="12">
        <v>181</v>
      </c>
      <c r="BD94" s="2">
        <f>BD93+Tabla32037[[#This Row],[Incremento]]</f>
        <v>269639.20146240003</v>
      </c>
      <c r="BE94" s="2">
        <v>1624</v>
      </c>
    </row>
    <row r="95" spans="3:57" ht="17" customHeight="1" x14ac:dyDescent="0.2">
      <c r="C95" s="2"/>
      <c r="D95" s="2"/>
      <c r="F95" s="12">
        <v>182</v>
      </c>
      <c r="G95" s="2">
        <f>G94+Tabla32037[[#This Row],[Incremento]]</f>
        <v>375843.8228125</v>
      </c>
      <c r="H95" s="2">
        <v>1624</v>
      </c>
      <c r="J95" s="12">
        <v>182</v>
      </c>
      <c r="K95" s="2">
        <f>K94+Tabla32037[[#This Row],[Incremento]]</f>
        <v>375843.8228125</v>
      </c>
      <c r="L95" s="2">
        <v>1624</v>
      </c>
      <c r="N95" s="12">
        <v>182</v>
      </c>
      <c r="O95" s="2">
        <f>O94+Tabla32037[[#This Row],[Incremento]]</f>
        <v>290039.72655000002</v>
      </c>
      <c r="P95" s="2">
        <v>1624</v>
      </c>
      <c r="R95" s="12">
        <v>182</v>
      </c>
      <c r="S95" s="2">
        <f>S94+Tabla32037[[#This Row],[Incremento]]</f>
        <v>193943.3125</v>
      </c>
      <c r="T95" s="2">
        <v>1624</v>
      </c>
      <c r="V95" s="12">
        <v>182</v>
      </c>
      <c r="W95" s="2">
        <f>W94+Tabla32037[[#This Row],[Incremento]]</f>
        <v>721638.61494397931</v>
      </c>
      <c r="X95" s="2">
        <v>1624</v>
      </c>
      <c r="Y95" s="2"/>
      <c r="Z95" s="12">
        <v>182</v>
      </c>
      <c r="AA95" s="2">
        <f>AA94+Tabla32037[[#This Row],[Incremento]]</f>
        <v>250807.06790501633</v>
      </c>
      <c r="AB95" s="2">
        <v>1624</v>
      </c>
      <c r="AC95" s="2"/>
      <c r="AD95" s="12">
        <v>182</v>
      </c>
      <c r="AE95" s="2">
        <f>AE94+Tabla32037[[#This Row],[Incremento]]</f>
        <v>368446.13581003266</v>
      </c>
      <c r="AF95" s="2">
        <v>1624</v>
      </c>
      <c r="AH95" s="12">
        <v>182</v>
      </c>
      <c r="AI95" s="2">
        <f>AI94+Tabla32037[[#This Row],[Incremento]]</f>
        <v>368446.13581003266</v>
      </c>
      <c r="AJ95" s="2">
        <v>1624</v>
      </c>
      <c r="AM95" s="35">
        <v>182</v>
      </c>
      <c r="AN95" s="10">
        <f>AN94+Tabla32037[[#This Row],[Incremento]]</f>
        <v>462557.39013404562</v>
      </c>
      <c r="AO95" s="10">
        <v>1624</v>
      </c>
      <c r="AQ95" s="12">
        <v>182</v>
      </c>
      <c r="AR95" s="2">
        <f>AR94+Tabla32037[[#This Row],[Incremento]]</f>
        <v>356682.22901953099</v>
      </c>
      <c r="AS95" s="2">
        <v>1624</v>
      </c>
      <c r="AU95" s="12">
        <v>182</v>
      </c>
      <c r="AV95" s="2">
        <f>AV94+Tabla32037[[#This Row],[Incremento]]</f>
        <v>547453.60438719997</v>
      </c>
      <c r="AW95" s="2">
        <v>1624</v>
      </c>
      <c r="AX95" s="2"/>
      <c r="AY95" s="12">
        <v>182</v>
      </c>
      <c r="AZ95" s="2">
        <f>AZ94+Tabla32037[[#This Row],[Incremento]]</f>
        <v>1741476.9533449123</v>
      </c>
      <c r="BA95" s="2">
        <v>1624</v>
      </c>
      <c r="BC95" s="12">
        <v>182</v>
      </c>
      <c r="BD95" s="2">
        <f>BD94+Tabla32037[[#This Row],[Incremento]]</f>
        <v>271263.20146240003</v>
      </c>
      <c r="BE95" s="2">
        <v>1624</v>
      </c>
    </row>
    <row r="96" spans="3:57" ht="17" customHeight="1" x14ac:dyDescent="0.2">
      <c r="C96" s="2"/>
      <c r="D96" s="2"/>
      <c r="F96" s="12">
        <v>183</v>
      </c>
      <c r="G96" s="2">
        <f>G95+Tabla32037[[#This Row],[Incremento]]</f>
        <v>377467.8228125</v>
      </c>
      <c r="H96" s="2">
        <v>1624</v>
      </c>
      <c r="J96" s="12">
        <v>183</v>
      </c>
      <c r="K96" s="2">
        <f>K95+Tabla32037[[#This Row],[Incremento]]</f>
        <v>377467.8228125</v>
      </c>
      <c r="L96" s="2">
        <v>1624</v>
      </c>
      <c r="N96" s="12">
        <v>183</v>
      </c>
      <c r="O96" s="2">
        <f>O95+Tabla32037[[#This Row],[Incremento]]</f>
        <v>291663.72655000002</v>
      </c>
      <c r="P96" s="2">
        <v>1624</v>
      </c>
      <c r="R96" s="12">
        <v>183</v>
      </c>
      <c r="S96" s="2">
        <f>S95+Tabla32037[[#This Row],[Incremento]]</f>
        <v>195567.3125</v>
      </c>
      <c r="T96" s="2">
        <v>1624</v>
      </c>
      <c r="V96" s="12">
        <v>183</v>
      </c>
      <c r="W96" s="2">
        <f>W95+Tabla32037[[#This Row],[Incremento]]</f>
        <v>723262.61494397931</v>
      </c>
      <c r="X96" s="2">
        <v>1624</v>
      </c>
      <c r="Y96" s="2"/>
      <c r="Z96" s="12">
        <v>183</v>
      </c>
      <c r="AA96" s="2">
        <f>AA95+Tabla32037[[#This Row],[Incremento]]</f>
        <v>252431.06790501633</v>
      </c>
      <c r="AB96" s="2">
        <v>1624</v>
      </c>
      <c r="AC96" s="2"/>
      <c r="AD96" s="12">
        <v>183</v>
      </c>
      <c r="AE96" s="2">
        <f>AE95+Tabla32037[[#This Row],[Incremento]]</f>
        <v>370070.13581003266</v>
      </c>
      <c r="AF96" s="2">
        <v>1624</v>
      </c>
      <c r="AH96" s="12">
        <v>183</v>
      </c>
      <c r="AI96" s="2">
        <f>AI95+Tabla32037[[#This Row],[Incremento]]</f>
        <v>370070.13581003266</v>
      </c>
      <c r="AJ96" s="2">
        <v>1624</v>
      </c>
      <c r="AM96" s="34">
        <v>183</v>
      </c>
      <c r="AN96" s="32">
        <f>AN95+Tabla32037[[#This Row],[Incremento]]</f>
        <v>464181.39013404562</v>
      </c>
      <c r="AO96" s="32">
        <v>1624</v>
      </c>
      <c r="AQ96" s="12">
        <v>183</v>
      </c>
      <c r="AR96" s="2">
        <f>AR95+Tabla32037[[#This Row],[Incremento]]</f>
        <v>358306.22901953099</v>
      </c>
      <c r="AS96" s="2">
        <v>1624</v>
      </c>
      <c r="AU96" s="12">
        <v>183</v>
      </c>
      <c r="AV96" s="2">
        <f>AV95+Tabla32037[[#This Row],[Incremento]]</f>
        <v>549077.60438719997</v>
      </c>
      <c r="AW96" s="2">
        <v>1624</v>
      </c>
      <c r="AX96" s="2"/>
      <c r="AY96" s="12">
        <v>183</v>
      </c>
      <c r="AZ96" s="2">
        <f>AZ95+Tabla32037[[#This Row],[Incremento]]</f>
        <v>1743100.9533449123</v>
      </c>
      <c r="BA96" s="2">
        <v>1624</v>
      </c>
      <c r="BC96" s="12">
        <v>183</v>
      </c>
      <c r="BD96" s="2">
        <f>BD95+Tabla32037[[#This Row],[Incremento]]</f>
        <v>272887.20146240003</v>
      </c>
      <c r="BE96" s="2">
        <v>1624</v>
      </c>
    </row>
    <row r="97" spans="3:57" ht="17" customHeight="1" x14ac:dyDescent="0.2">
      <c r="C97" s="2"/>
      <c r="D97" s="2"/>
      <c r="F97" s="12">
        <v>184</v>
      </c>
      <c r="G97" s="2">
        <f>G96+Tabla32037[[#This Row],[Incremento]]</f>
        <v>379091.8228125</v>
      </c>
      <c r="H97" s="2">
        <v>1624</v>
      </c>
      <c r="J97" s="12">
        <v>184</v>
      </c>
      <c r="K97" s="2">
        <f>K96+Tabla32037[[#This Row],[Incremento]]</f>
        <v>379091.8228125</v>
      </c>
      <c r="L97" s="2">
        <v>1624</v>
      </c>
      <c r="N97" s="12">
        <v>184</v>
      </c>
      <c r="O97" s="2">
        <f>O96+Tabla32037[[#This Row],[Incremento]]</f>
        <v>293287.72655000002</v>
      </c>
      <c r="P97" s="2">
        <v>1624</v>
      </c>
      <c r="R97" s="12">
        <v>184</v>
      </c>
      <c r="S97" s="2">
        <f>S96+Tabla32037[[#This Row],[Incremento]]</f>
        <v>197191.3125</v>
      </c>
      <c r="T97" s="2">
        <v>1624</v>
      </c>
      <c r="V97" s="12">
        <v>184</v>
      </c>
      <c r="W97" s="2">
        <f>W96+Tabla32037[[#This Row],[Incremento]]</f>
        <v>724886.61494397931</v>
      </c>
      <c r="X97" s="2">
        <v>1624</v>
      </c>
      <c r="Y97" s="2"/>
      <c r="Z97" s="12">
        <v>184</v>
      </c>
      <c r="AA97" s="2">
        <f>AA96+Tabla32037[[#This Row],[Incremento]]</f>
        <v>254055.06790501633</v>
      </c>
      <c r="AB97" s="2">
        <v>1624</v>
      </c>
      <c r="AC97" s="2"/>
      <c r="AD97" s="12">
        <v>184</v>
      </c>
      <c r="AE97" s="2">
        <f>AE96+Tabla32037[[#This Row],[Incremento]]</f>
        <v>371694.13581003266</v>
      </c>
      <c r="AF97" s="2">
        <v>1624</v>
      </c>
      <c r="AH97" s="12">
        <v>184</v>
      </c>
      <c r="AI97" s="2">
        <f>AI96+Tabla32037[[#This Row],[Incremento]]</f>
        <v>371694.13581003266</v>
      </c>
      <c r="AJ97" s="2">
        <v>1624</v>
      </c>
      <c r="AM97" s="35">
        <v>184</v>
      </c>
      <c r="AN97" s="10">
        <f>AN96+Tabla32037[[#This Row],[Incremento]]</f>
        <v>465805.39013404562</v>
      </c>
      <c r="AO97" s="10">
        <v>1624</v>
      </c>
      <c r="AQ97" s="12">
        <v>184</v>
      </c>
      <c r="AR97" s="2">
        <f>AR96+Tabla32037[[#This Row],[Incremento]]</f>
        <v>359930.22901953099</v>
      </c>
      <c r="AS97" s="2">
        <v>1624</v>
      </c>
      <c r="AU97" s="12">
        <v>184</v>
      </c>
      <c r="AV97" s="2">
        <f>AV96+Tabla32037[[#This Row],[Incremento]]</f>
        <v>550701.60438719997</v>
      </c>
      <c r="AW97" s="2">
        <v>1624</v>
      </c>
      <c r="AX97" s="2"/>
      <c r="AY97" s="12">
        <v>184</v>
      </c>
      <c r="AZ97" s="2">
        <f>AZ96+Tabla32037[[#This Row],[Incremento]]</f>
        <v>1744724.9533449123</v>
      </c>
      <c r="BA97" s="2">
        <v>1624</v>
      </c>
      <c r="BC97" s="12">
        <v>184</v>
      </c>
      <c r="BD97" s="2">
        <f>BD96+Tabla32037[[#This Row],[Incremento]]</f>
        <v>274511.20146240003</v>
      </c>
      <c r="BE97" s="2">
        <v>1624</v>
      </c>
    </row>
    <row r="98" spans="3:57" ht="17" customHeight="1" x14ac:dyDescent="0.2">
      <c r="C98" s="2"/>
      <c r="D98" s="2"/>
      <c r="F98" s="12">
        <v>185</v>
      </c>
      <c r="G98" s="2">
        <f>G97+Tabla32037[[#This Row],[Incremento]]</f>
        <v>380715.8228125</v>
      </c>
      <c r="H98" s="2">
        <v>1624</v>
      </c>
      <c r="J98" s="12">
        <v>185</v>
      </c>
      <c r="K98" s="2">
        <f>K97+Tabla32037[[#This Row],[Incremento]]</f>
        <v>380715.8228125</v>
      </c>
      <c r="L98" s="2">
        <v>1624</v>
      </c>
      <c r="N98" s="12">
        <v>185</v>
      </c>
      <c r="O98" s="2">
        <f>O97+Tabla32037[[#This Row],[Incremento]]</f>
        <v>294911.72655000002</v>
      </c>
      <c r="P98" s="2">
        <v>1624</v>
      </c>
      <c r="R98" s="12">
        <v>185</v>
      </c>
      <c r="S98" s="2">
        <f>S97+Tabla32037[[#This Row],[Incremento]]</f>
        <v>198815.3125</v>
      </c>
      <c r="T98" s="2">
        <v>1624</v>
      </c>
      <c r="V98" s="12">
        <v>185</v>
      </c>
      <c r="W98" s="2">
        <f>W97+Tabla32037[[#This Row],[Incremento]]</f>
        <v>726510.61494397931</v>
      </c>
      <c r="X98" s="2">
        <v>1624</v>
      </c>
      <c r="Y98" s="2"/>
      <c r="Z98" s="12">
        <v>185</v>
      </c>
      <c r="AA98" s="2">
        <f>AA97+Tabla32037[[#This Row],[Incremento]]</f>
        <v>255679.06790501633</v>
      </c>
      <c r="AB98" s="2">
        <v>1624</v>
      </c>
      <c r="AC98" s="2"/>
      <c r="AD98" s="12">
        <v>185</v>
      </c>
      <c r="AE98" s="2">
        <f>AE97+Tabla32037[[#This Row],[Incremento]]</f>
        <v>373318.13581003266</v>
      </c>
      <c r="AF98" s="2">
        <v>1624</v>
      </c>
      <c r="AH98" s="12">
        <v>185</v>
      </c>
      <c r="AI98" s="2">
        <f>AI97+Tabla32037[[#This Row],[Incremento]]</f>
        <v>373318.13581003266</v>
      </c>
      <c r="AJ98" s="2">
        <v>1624</v>
      </c>
      <c r="AM98" s="34">
        <v>185</v>
      </c>
      <c r="AN98" s="32">
        <f>AN97+Tabla32037[[#This Row],[Incremento]]</f>
        <v>467429.39013404562</v>
      </c>
      <c r="AO98" s="32">
        <v>1624</v>
      </c>
      <c r="AQ98" s="12">
        <v>185</v>
      </c>
      <c r="AR98" s="2">
        <f>AR97+Tabla32037[[#This Row],[Incremento]]</f>
        <v>361554.22901953099</v>
      </c>
      <c r="AS98" s="2">
        <v>1624</v>
      </c>
      <c r="AU98" s="12">
        <v>185</v>
      </c>
      <c r="AV98" s="2">
        <f>AV97+Tabla32037[[#This Row],[Incremento]]</f>
        <v>552325.60438719997</v>
      </c>
      <c r="AW98" s="2">
        <v>1624</v>
      </c>
      <c r="AX98" s="2"/>
      <c r="AY98" s="12">
        <v>185</v>
      </c>
      <c r="AZ98" s="2">
        <f>AZ97+Tabla32037[[#This Row],[Incremento]]</f>
        <v>1746348.9533449123</v>
      </c>
      <c r="BA98" s="2">
        <v>1624</v>
      </c>
      <c r="BC98" s="12">
        <v>185</v>
      </c>
      <c r="BD98" s="2">
        <f>BD97+Tabla32037[[#This Row],[Incremento]]</f>
        <v>276135.20146240003</v>
      </c>
      <c r="BE98" s="2">
        <v>1624</v>
      </c>
    </row>
    <row r="99" spans="3:57" ht="17" customHeight="1" x14ac:dyDescent="0.2">
      <c r="C99" s="2"/>
      <c r="D99" s="2"/>
      <c r="F99" s="12">
        <v>186</v>
      </c>
      <c r="G99" s="2">
        <f>G98+Tabla32037[[#This Row],[Incremento]]</f>
        <v>382339.8228125</v>
      </c>
      <c r="H99" s="2">
        <v>1624</v>
      </c>
      <c r="J99" s="12">
        <v>186</v>
      </c>
      <c r="K99" s="2">
        <f>K98+Tabla32037[[#This Row],[Incremento]]</f>
        <v>382339.8228125</v>
      </c>
      <c r="L99" s="2">
        <v>1624</v>
      </c>
      <c r="N99" s="12">
        <v>186</v>
      </c>
      <c r="O99" s="2">
        <f>O98+Tabla32037[[#This Row],[Incremento]]</f>
        <v>296535.72655000002</v>
      </c>
      <c r="P99" s="2">
        <v>1624</v>
      </c>
      <c r="R99" s="12">
        <v>186</v>
      </c>
      <c r="S99" s="2">
        <f>S98+Tabla32037[[#This Row],[Incremento]]</f>
        <v>200439.3125</v>
      </c>
      <c r="T99" s="2">
        <v>1624</v>
      </c>
      <c r="V99" s="12">
        <v>186</v>
      </c>
      <c r="W99" s="2">
        <f>W98+Tabla32037[[#This Row],[Incremento]]</f>
        <v>728134.61494397931</v>
      </c>
      <c r="X99" s="2">
        <v>1624</v>
      </c>
      <c r="Y99" s="2"/>
      <c r="Z99" s="12">
        <v>186</v>
      </c>
      <c r="AA99" s="2">
        <f>AA98+Tabla32037[[#This Row],[Incremento]]</f>
        <v>257303.06790501633</v>
      </c>
      <c r="AB99" s="2">
        <v>1624</v>
      </c>
      <c r="AC99" s="2"/>
      <c r="AD99" s="12">
        <v>186</v>
      </c>
      <c r="AE99" s="2">
        <f>AE98+Tabla32037[[#This Row],[Incremento]]</f>
        <v>374942.13581003266</v>
      </c>
      <c r="AF99" s="2">
        <v>1624</v>
      </c>
      <c r="AH99" s="12">
        <v>186</v>
      </c>
      <c r="AI99" s="2">
        <f>AI98+Tabla32037[[#This Row],[Incremento]]</f>
        <v>374942.13581003266</v>
      </c>
      <c r="AJ99" s="2">
        <v>1624</v>
      </c>
      <c r="AM99" s="35">
        <v>186</v>
      </c>
      <c r="AN99" s="10">
        <f>AN98+Tabla32037[[#This Row],[Incremento]]</f>
        <v>469053.39013404562</v>
      </c>
      <c r="AO99" s="10">
        <v>1624</v>
      </c>
      <c r="AQ99" s="12">
        <v>186</v>
      </c>
      <c r="AR99" s="2">
        <f>AR98+Tabla32037[[#This Row],[Incremento]]</f>
        <v>363178.22901953099</v>
      </c>
      <c r="AS99" s="2">
        <v>1624</v>
      </c>
      <c r="AU99" s="12">
        <v>186</v>
      </c>
      <c r="AV99" s="2">
        <f>AV98+Tabla32037[[#This Row],[Incremento]]</f>
        <v>553949.60438719997</v>
      </c>
      <c r="AW99" s="2">
        <v>1624</v>
      </c>
      <c r="AX99" s="2"/>
      <c r="AY99" s="12">
        <v>186</v>
      </c>
      <c r="AZ99" s="2">
        <f>AZ98+Tabla32037[[#This Row],[Incremento]]</f>
        <v>1747972.9533449123</v>
      </c>
      <c r="BA99" s="2">
        <v>1624</v>
      </c>
      <c r="BC99" s="12">
        <v>186</v>
      </c>
      <c r="BD99" s="2">
        <f>BD98+Tabla32037[[#This Row],[Incremento]]</f>
        <v>277759.20146240003</v>
      </c>
      <c r="BE99" s="2">
        <v>1624</v>
      </c>
    </row>
    <row r="100" spans="3:57" ht="17" customHeight="1" x14ac:dyDescent="0.2">
      <c r="C100" s="2"/>
      <c r="D100" s="2"/>
      <c r="F100" s="12">
        <v>187</v>
      </c>
      <c r="G100" s="2">
        <f>G99+Tabla32037[[#This Row],[Incremento]]</f>
        <v>383963.8228125</v>
      </c>
      <c r="H100" s="2">
        <v>1624</v>
      </c>
      <c r="J100" s="12">
        <v>187</v>
      </c>
      <c r="K100" s="2">
        <f>K99+Tabla32037[[#This Row],[Incremento]]</f>
        <v>383963.8228125</v>
      </c>
      <c r="L100" s="2">
        <v>1624</v>
      </c>
      <c r="N100" s="12">
        <v>187</v>
      </c>
      <c r="O100" s="2">
        <f>O99+Tabla32037[[#This Row],[Incremento]]</f>
        <v>298159.72655000002</v>
      </c>
      <c r="P100" s="2">
        <v>1624</v>
      </c>
      <c r="R100" s="12">
        <v>187</v>
      </c>
      <c r="S100" s="2">
        <f>S99+Tabla32037[[#This Row],[Incremento]]</f>
        <v>202063.3125</v>
      </c>
      <c r="T100" s="2">
        <v>1624</v>
      </c>
      <c r="V100" s="12">
        <v>187</v>
      </c>
      <c r="W100" s="2">
        <f>W99+Tabla32037[[#This Row],[Incremento]]</f>
        <v>729758.61494397931</v>
      </c>
      <c r="X100" s="2">
        <v>1624</v>
      </c>
      <c r="Y100" s="2"/>
      <c r="Z100" s="12">
        <v>187</v>
      </c>
      <c r="AA100" s="2">
        <f>AA99+Tabla32037[[#This Row],[Incremento]]</f>
        <v>258927.06790501633</v>
      </c>
      <c r="AB100" s="2">
        <v>1624</v>
      </c>
      <c r="AC100" s="2"/>
      <c r="AD100" s="12">
        <v>187</v>
      </c>
      <c r="AE100" s="2">
        <f>AE99+Tabla32037[[#This Row],[Incremento]]</f>
        <v>376566.13581003266</v>
      </c>
      <c r="AF100" s="2">
        <v>1624</v>
      </c>
      <c r="AH100" s="12">
        <v>187</v>
      </c>
      <c r="AI100" s="2">
        <f>AI99+Tabla32037[[#This Row],[Incremento]]</f>
        <v>376566.13581003266</v>
      </c>
      <c r="AJ100" s="2">
        <v>1624</v>
      </c>
      <c r="AM100" s="34">
        <v>187</v>
      </c>
      <c r="AN100" s="32">
        <f>AN99+Tabla32037[[#This Row],[Incremento]]</f>
        <v>470677.39013404562</v>
      </c>
      <c r="AO100" s="32">
        <v>1624</v>
      </c>
      <c r="AQ100" s="12">
        <v>187</v>
      </c>
      <c r="AR100" s="2">
        <f>AR99+Tabla32037[[#This Row],[Incremento]]</f>
        <v>364802.22901953099</v>
      </c>
      <c r="AS100" s="2">
        <v>1624</v>
      </c>
      <c r="AU100" s="12">
        <v>187</v>
      </c>
      <c r="AV100" s="2">
        <f>AV99+Tabla32037[[#This Row],[Incremento]]</f>
        <v>555573.60438719997</v>
      </c>
      <c r="AW100" s="2">
        <v>1624</v>
      </c>
      <c r="AX100" s="2"/>
      <c r="AY100" s="12">
        <v>187</v>
      </c>
      <c r="AZ100" s="2">
        <f>AZ99+Tabla32037[[#This Row],[Incremento]]</f>
        <v>1749596.9533449123</v>
      </c>
      <c r="BA100" s="2">
        <v>1624</v>
      </c>
      <c r="BC100" s="12">
        <v>187</v>
      </c>
      <c r="BD100" s="2">
        <f>BD99+Tabla32037[[#This Row],[Incremento]]</f>
        <v>279383.20146240003</v>
      </c>
      <c r="BE100" s="2">
        <v>1624</v>
      </c>
    </row>
    <row r="101" spans="3:57" ht="17" customHeight="1" x14ac:dyDescent="0.2">
      <c r="C101" s="2"/>
      <c r="D101" s="2"/>
      <c r="F101" s="12">
        <v>188</v>
      </c>
      <c r="G101" s="2">
        <f>G100+Tabla32037[[#This Row],[Incremento]]</f>
        <v>385587.8228125</v>
      </c>
      <c r="H101" s="2">
        <v>1624</v>
      </c>
      <c r="J101" s="12">
        <v>188</v>
      </c>
      <c r="K101" s="2">
        <f>K100+Tabla32037[[#This Row],[Incremento]]</f>
        <v>385587.8228125</v>
      </c>
      <c r="L101" s="2">
        <v>1624</v>
      </c>
      <c r="N101" s="12">
        <v>188</v>
      </c>
      <c r="O101" s="2">
        <f>O100+Tabla32037[[#This Row],[Incremento]]</f>
        <v>299783.72655000002</v>
      </c>
      <c r="P101" s="2">
        <v>1624</v>
      </c>
      <c r="R101" s="12">
        <v>188</v>
      </c>
      <c r="S101" s="2">
        <f>S100+Tabla32037[[#This Row],[Incremento]]</f>
        <v>203687.3125</v>
      </c>
      <c r="T101" s="2">
        <v>1624</v>
      </c>
      <c r="V101" s="12">
        <v>188</v>
      </c>
      <c r="W101" s="2">
        <f>W100+Tabla32037[[#This Row],[Incremento]]</f>
        <v>731382.61494397931</v>
      </c>
      <c r="X101" s="2">
        <v>1624</v>
      </c>
      <c r="Y101" s="2"/>
      <c r="Z101" s="12">
        <v>188</v>
      </c>
      <c r="AA101" s="2">
        <f>AA100+Tabla32037[[#This Row],[Incremento]]</f>
        <v>260551.06790501633</v>
      </c>
      <c r="AB101" s="2">
        <v>1624</v>
      </c>
      <c r="AC101" s="2"/>
      <c r="AD101" s="12">
        <v>188</v>
      </c>
      <c r="AE101" s="2">
        <f>AE100+Tabla32037[[#This Row],[Incremento]]</f>
        <v>378190.13581003266</v>
      </c>
      <c r="AF101" s="2">
        <v>1624</v>
      </c>
      <c r="AH101" s="12">
        <v>188</v>
      </c>
      <c r="AI101" s="2">
        <f>AI100+Tabla32037[[#This Row],[Incremento]]</f>
        <v>378190.13581003266</v>
      </c>
      <c r="AJ101" s="2">
        <v>1624</v>
      </c>
      <c r="AM101" s="35">
        <v>188</v>
      </c>
      <c r="AN101" s="10">
        <f>AN100+Tabla32037[[#This Row],[Incremento]]</f>
        <v>472301.39013404562</v>
      </c>
      <c r="AO101" s="10">
        <v>1624</v>
      </c>
      <c r="AQ101" s="12">
        <v>188</v>
      </c>
      <c r="AR101" s="2">
        <f>AR100+Tabla32037[[#This Row],[Incremento]]</f>
        <v>366426.22901953099</v>
      </c>
      <c r="AS101" s="2">
        <v>1624</v>
      </c>
      <c r="AU101" s="12">
        <v>188</v>
      </c>
      <c r="AV101" s="2">
        <f>AV100+Tabla32037[[#This Row],[Incremento]]</f>
        <v>557197.60438719997</v>
      </c>
      <c r="AW101" s="2">
        <v>1624</v>
      </c>
      <c r="AX101" s="2"/>
      <c r="AY101" s="12">
        <v>188</v>
      </c>
      <c r="AZ101" s="2">
        <f>AZ100+Tabla32037[[#This Row],[Incremento]]</f>
        <v>1751220.9533449123</v>
      </c>
      <c r="BA101" s="2">
        <v>1624</v>
      </c>
      <c r="BC101" s="12">
        <v>188</v>
      </c>
      <c r="BD101" s="2">
        <f>BD100+Tabla32037[[#This Row],[Incremento]]</f>
        <v>281007.20146240003</v>
      </c>
      <c r="BE101" s="2">
        <v>1624</v>
      </c>
    </row>
    <row r="102" spans="3:57" ht="17" customHeight="1" x14ac:dyDescent="0.2">
      <c r="C102" s="2"/>
      <c r="D102" s="2"/>
      <c r="F102" s="12">
        <v>189</v>
      </c>
      <c r="G102" s="2">
        <f>G101+Tabla32037[[#This Row],[Incremento]]</f>
        <v>387211.8228125</v>
      </c>
      <c r="H102" s="2">
        <v>1624</v>
      </c>
      <c r="J102" s="12">
        <v>189</v>
      </c>
      <c r="K102" s="2">
        <f>K101+Tabla32037[[#This Row],[Incremento]]</f>
        <v>387211.8228125</v>
      </c>
      <c r="L102" s="2">
        <v>1624</v>
      </c>
      <c r="N102" s="12">
        <v>189</v>
      </c>
      <c r="O102" s="2">
        <f>O101+Tabla32037[[#This Row],[Incremento]]</f>
        <v>301407.72655000002</v>
      </c>
      <c r="P102" s="2">
        <v>1624</v>
      </c>
      <c r="R102" s="12">
        <v>189</v>
      </c>
      <c r="S102" s="2">
        <f>S101+Tabla32037[[#This Row],[Incremento]]</f>
        <v>205311.3125</v>
      </c>
      <c r="T102" s="2">
        <v>1624</v>
      </c>
      <c r="V102" s="12">
        <v>189</v>
      </c>
      <c r="W102" s="2">
        <f>W101+Tabla32037[[#This Row],[Incremento]]</f>
        <v>733006.61494397931</v>
      </c>
      <c r="X102" s="2">
        <v>1624</v>
      </c>
      <c r="Y102" s="2"/>
      <c r="Z102" s="12">
        <v>189</v>
      </c>
      <c r="AA102" s="2">
        <f>AA101+Tabla32037[[#This Row],[Incremento]]</f>
        <v>262175.06790501636</v>
      </c>
      <c r="AB102" s="2">
        <v>1624</v>
      </c>
      <c r="AC102" s="2"/>
      <c r="AD102" s="12">
        <v>189</v>
      </c>
      <c r="AE102" s="2">
        <f>AE101+Tabla32037[[#This Row],[Incremento]]</f>
        <v>379814.13581003266</v>
      </c>
      <c r="AF102" s="2">
        <v>1624</v>
      </c>
      <c r="AH102" s="12">
        <v>189</v>
      </c>
      <c r="AI102" s="2">
        <f>AI101+Tabla32037[[#This Row],[Incremento]]</f>
        <v>379814.13581003266</v>
      </c>
      <c r="AJ102" s="2">
        <v>1624</v>
      </c>
      <c r="AM102" s="34">
        <v>189</v>
      </c>
      <c r="AN102" s="32">
        <f>AN101+Tabla32037[[#This Row],[Incremento]]</f>
        <v>473925.39013404562</v>
      </c>
      <c r="AO102" s="32">
        <v>1624</v>
      </c>
      <c r="AQ102" s="12">
        <v>189</v>
      </c>
      <c r="AR102" s="2">
        <f>AR101+Tabla32037[[#This Row],[Incremento]]</f>
        <v>368050.22901953099</v>
      </c>
      <c r="AS102" s="2">
        <v>1624</v>
      </c>
      <c r="AU102" s="12">
        <v>189</v>
      </c>
      <c r="AV102" s="2">
        <f>AV101+Tabla32037[[#This Row],[Incremento]]</f>
        <v>558821.60438719997</v>
      </c>
      <c r="AW102" s="2">
        <v>1624</v>
      </c>
      <c r="AX102" s="2"/>
      <c r="AY102" s="12">
        <v>189</v>
      </c>
      <c r="AZ102" s="2">
        <f>AZ101+Tabla32037[[#This Row],[Incremento]]</f>
        <v>1752844.9533449123</v>
      </c>
      <c r="BA102" s="2">
        <v>1624</v>
      </c>
      <c r="BC102" s="12">
        <v>189</v>
      </c>
      <c r="BD102" s="2">
        <f>BD101+Tabla32037[[#This Row],[Incremento]]</f>
        <v>282631.20146240003</v>
      </c>
      <c r="BE102" s="2">
        <v>1624</v>
      </c>
    </row>
    <row r="103" spans="3:57" ht="17" customHeight="1" x14ac:dyDescent="0.2">
      <c r="C103" s="2"/>
      <c r="D103" s="2"/>
      <c r="F103" s="12">
        <v>190</v>
      </c>
      <c r="G103" s="2">
        <f>G102+Tabla32037[[#This Row],[Incremento]]</f>
        <v>388835.8228125</v>
      </c>
      <c r="H103" s="2">
        <v>1624</v>
      </c>
      <c r="J103" s="12">
        <v>190</v>
      </c>
      <c r="K103" s="2">
        <f>K102+Tabla32037[[#This Row],[Incremento]]</f>
        <v>388835.8228125</v>
      </c>
      <c r="L103" s="2">
        <v>1624</v>
      </c>
      <c r="N103" s="12">
        <v>190</v>
      </c>
      <c r="O103" s="2">
        <f>O102+Tabla32037[[#This Row],[Incremento]]</f>
        <v>303031.72655000002</v>
      </c>
      <c r="P103" s="2">
        <v>1624</v>
      </c>
      <c r="R103" s="12">
        <v>190</v>
      </c>
      <c r="S103" s="2">
        <f>S102+Tabla32037[[#This Row],[Incremento]]</f>
        <v>206935.3125</v>
      </c>
      <c r="T103" s="2">
        <v>1624</v>
      </c>
      <c r="V103" s="12">
        <v>190</v>
      </c>
      <c r="W103" s="2">
        <f>W102+Tabla32037[[#This Row],[Incremento]]</f>
        <v>734630.61494397931</v>
      </c>
      <c r="X103" s="2">
        <v>1624</v>
      </c>
      <c r="Y103" s="2"/>
      <c r="Z103" s="12">
        <v>190</v>
      </c>
      <c r="AA103" s="2">
        <f>AA102+Tabla32037[[#This Row],[Incremento]]</f>
        <v>263799.06790501636</v>
      </c>
      <c r="AB103" s="2">
        <v>1624</v>
      </c>
      <c r="AC103" s="2"/>
      <c r="AD103" s="12">
        <v>190</v>
      </c>
      <c r="AE103" s="2">
        <f>AE102+Tabla32037[[#This Row],[Incremento]]</f>
        <v>381438.13581003266</v>
      </c>
      <c r="AF103" s="2">
        <v>1624</v>
      </c>
      <c r="AH103" s="12">
        <v>190</v>
      </c>
      <c r="AI103" s="2">
        <f>AI102+Tabla32037[[#This Row],[Incremento]]</f>
        <v>381438.13581003266</v>
      </c>
      <c r="AJ103" s="2">
        <v>1624</v>
      </c>
      <c r="AM103" s="35">
        <v>190</v>
      </c>
      <c r="AN103" s="10">
        <f>AN102+Tabla32037[[#This Row],[Incremento]]</f>
        <v>475549.39013404562</v>
      </c>
      <c r="AO103" s="10">
        <v>1624</v>
      </c>
      <c r="AQ103" s="12">
        <v>190</v>
      </c>
      <c r="AR103" s="2">
        <f>AR102+Tabla32037[[#This Row],[Incremento]]</f>
        <v>369674.22901953099</v>
      </c>
      <c r="AS103" s="2">
        <v>1624</v>
      </c>
      <c r="AU103" s="12">
        <v>190</v>
      </c>
      <c r="AV103" s="2">
        <f>AV102+Tabla32037[[#This Row],[Incremento]]</f>
        <v>560445.60438719997</v>
      </c>
      <c r="AW103" s="2">
        <v>1624</v>
      </c>
      <c r="AX103" s="2"/>
      <c r="AY103" s="12">
        <v>190</v>
      </c>
      <c r="AZ103" s="2">
        <f>AZ102+Tabla32037[[#This Row],[Incremento]]</f>
        <v>1754468.9533449123</v>
      </c>
      <c r="BA103" s="2">
        <v>1624</v>
      </c>
      <c r="BC103" s="12">
        <v>190</v>
      </c>
      <c r="BD103" s="2">
        <f>BD102+Tabla32037[[#This Row],[Incremento]]</f>
        <v>284255.20146240003</v>
      </c>
      <c r="BE103" s="2">
        <v>1624</v>
      </c>
    </row>
    <row r="104" spans="3:57" ht="17" customHeight="1" x14ac:dyDescent="0.2">
      <c r="C104" s="2"/>
      <c r="D104" s="2"/>
      <c r="F104" s="12">
        <v>191</v>
      </c>
      <c r="G104" s="2">
        <f>G103+Tabla32037[[#This Row],[Incremento]]</f>
        <v>390459.8228125</v>
      </c>
      <c r="H104" s="2">
        <v>1624</v>
      </c>
      <c r="J104" s="12">
        <v>191</v>
      </c>
      <c r="K104" s="2">
        <f>K103+Tabla32037[[#This Row],[Incremento]]</f>
        <v>390459.8228125</v>
      </c>
      <c r="L104" s="2">
        <v>1624</v>
      </c>
      <c r="N104" s="12">
        <v>191</v>
      </c>
      <c r="O104" s="2">
        <f>O103+Tabla32037[[#This Row],[Incremento]]</f>
        <v>304655.72655000002</v>
      </c>
      <c r="P104" s="2">
        <v>1624</v>
      </c>
      <c r="R104" s="12">
        <v>191</v>
      </c>
      <c r="S104" s="2">
        <f>S103+Tabla32037[[#This Row],[Incremento]]</f>
        <v>208559.3125</v>
      </c>
      <c r="T104" s="2">
        <v>1624</v>
      </c>
      <c r="V104" s="12">
        <v>191</v>
      </c>
      <c r="W104" s="2">
        <f>W103+Tabla32037[[#This Row],[Incremento]]</f>
        <v>736254.61494397931</v>
      </c>
      <c r="X104" s="2">
        <v>1624</v>
      </c>
      <c r="Y104" s="2"/>
      <c r="Z104" s="12">
        <v>191</v>
      </c>
      <c r="AA104" s="2">
        <f>AA103+Tabla32037[[#This Row],[Incremento]]</f>
        <v>265423.06790501636</v>
      </c>
      <c r="AB104" s="2">
        <v>1624</v>
      </c>
      <c r="AC104" s="2"/>
      <c r="AD104" s="12">
        <v>191</v>
      </c>
      <c r="AE104" s="2">
        <f>AE103+Tabla32037[[#This Row],[Incremento]]</f>
        <v>383062.13581003266</v>
      </c>
      <c r="AF104" s="2">
        <v>1624</v>
      </c>
      <c r="AH104" s="12">
        <v>191</v>
      </c>
      <c r="AI104" s="2">
        <f>AI103+Tabla32037[[#This Row],[Incremento]]</f>
        <v>383062.13581003266</v>
      </c>
      <c r="AJ104" s="2">
        <v>1624</v>
      </c>
      <c r="AM104" s="34">
        <v>191</v>
      </c>
      <c r="AN104" s="32">
        <f>AN103+Tabla32037[[#This Row],[Incremento]]</f>
        <v>477173.39013404562</v>
      </c>
      <c r="AO104" s="32">
        <v>1624</v>
      </c>
      <c r="AQ104" s="12">
        <v>191</v>
      </c>
      <c r="AR104" s="2">
        <f>AR103+Tabla32037[[#This Row],[Incremento]]</f>
        <v>371298.22901953099</v>
      </c>
      <c r="AS104" s="2">
        <v>1624</v>
      </c>
      <c r="AU104" s="12">
        <v>191</v>
      </c>
      <c r="AV104" s="2">
        <f>AV103+Tabla32037[[#This Row],[Incremento]]</f>
        <v>562069.60438719997</v>
      </c>
      <c r="AW104" s="2">
        <v>1624</v>
      </c>
      <c r="AX104" s="2"/>
      <c r="AY104" s="12">
        <v>191</v>
      </c>
      <c r="AZ104" s="2">
        <f>AZ103+Tabla32037[[#This Row],[Incremento]]</f>
        <v>1756092.9533449123</v>
      </c>
      <c r="BA104" s="2">
        <v>1624</v>
      </c>
      <c r="BC104" s="12">
        <v>191</v>
      </c>
      <c r="BD104" s="2">
        <f>BD103+Tabla32037[[#This Row],[Incremento]]</f>
        <v>285879.20146240003</v>
      </c>
      <c r="BE104" s="2">
        <v>1624</v>
      </c>
    </row>
    <row r="105" spans="3:57" ht="17" customHeight="1" x14ac:dyDescent="0.2">
      <c r="C105" s="2"/>
      <c r="D105" s="2"/>
      <c r="F105" s="12">
        <v>192</v>
      </c>
      <c r="G105" s="2">
        <f>G104+Tabla32037[[#This Row],[Incremento]]</f>
        <v>392083.8228125</v>
      </c>
      <c r="H105" s="2">
        <v>1624</v>
      </c>
      <c r="J105" s="12">
        <v>192</v>
      </c>
      <c r="K105" s="2">
        <f>K104+Tabla32037[[#This Row],[Incremento]]</f>
        <v>392083.8228125</v>
      </c>
      <c r="L105" s="2">
        <v>1624</v>
      </c>
      <c r="N105" s="12">
        <v>192</v>
      </c>
      <c r="O105" s="2">
        <f>O104+Tabla32037[[#This Row],[Incremento]]</f>
        <v>306279.72655000002</v>
      </c>
      <c r="P105" s="2">
        <v>1624</v>
      </c>
      <c r="R105" s="12">
        <v>192</v>
      </c>
      <c r="S105" s="2">
        <f>S104+Tabla32037[[#This Row],[Incremento]]</f>
        <v>210183.3125</v>
      </c>
      <c r="T105" s="2">
        <v>1624</v>
      </c>
      <c r="V105" s="12">
        <v>192</v>
      </c>
      <c r="W105" s="2">
        <f>W104+Tabla32037[[#This Row],[Incremento]]</f>
        <v>737878.61494397931</v>
      </c>
      <c r="X105" s="2">
        <v>1624</v>
      </c>
      <c r="Y105" s="2"/>
      <c r="Z105" s="12">
        <v>192</v>
      </c>
      <c r="AA105" s="2">
        <f>AA104+Tabla32037[[#This Row],[Incremento]]</f>
        <v>267047.06790501636</v>
      </c>
      <c r="AB105" s="2">
        <v>1624</v>
      </c>
      <c r="AC105" s="2"/>
      <c r="AD105" s="12">
        <v>192</v>
      </c>
      <c r="AE105" s="2">
        <f>AE104+Tabla32037[[#This Row],[Incremento]]</f>
        <v>384686.13581003266</v>
      </c>
      <c r="AF105" s="2">
        <v>1624</v>
      </c>
      <c r="AH105" s="12">
        <v>192</v>
      </c>
      <c r="AI105" s="2">
        <f>AI104+Tabla32037[[#This Row],[Incremento]]</f>
        <v>384686.13581003266</v>
      </c>
      <c r="AJ105" s="2">
        <v>1624</v>
      </c>
      <c r="AM105" s="35">
        <v>192</v>
      </c>
      <c r="AN105" s="10">
        <f>AN104+Tabla32037[[#This Row],[Incremento]]</f>
        <v>478797.39013404562</v>
      </c>
      <c r="AO105" s="10">
        <v>1624</v>
      </c>
      <c r="AQ105" s="12">
        <v>192</v>
      </c>
      <c r="AR105" s="2">
        <f>AR104+Tabla32037[[#This Row],[Incremento]]</f>
        <v>372922.22901953099</v>
      </c>
      <c r="AS105" s="2">
        <v>1624</v>
      </c>
      <c r="AU105" s="12">
        <v>192</v>
      </c>
      <c r="AV105" s="2">
        <f>AV104+Tabla32037[[#This Row],[Incremento]]</f>
        <v>563693.60438719997</v>
      </c>
      <c r="AW105" s="2">
        <v>1624</v>
      </c>
      <c r="AX105" s="2"/>
      <c r="AY105" s="12">
        <v>192</v>
      </c>
      <c r="AZ105" s="2">
        <f>AZ104+Tabla32037[[#This Row],[Incremento]]</f>
        <v>1757716.9533449123</v>
      </c>
      <c r="BA105" s="2">
        <v>1624</v>
      </c>
      <c r="BC105" s="12">
        <v>192</v>
      </c>
      <c r="BD105" s="2">
        <f>BD104+Tabla32037[[#This Row],[Incremento]]</f>
        <v>287503.20146240003</v>
      </c>
      <c r="BE105" s="2">
        <v>1624</v>
      </c>
    </row>
    <row r="106" spans="3:57" ht="17" customHeight="1" x14ac:dyDescent="0.2">
      <c r="C106" s="2"/>
      <c r="D106" s="2"/>
      <c r="F106" s="12">
        <v>193</v>
      </c>
      <c r="G106" s="2">
        <f>G105+Tabla32037[[#This Row],[Incremento]]</f>
        <v>393707.8228125</v>
      </c>
      <c r="H106" s="2">
        <v>1624</v>
      </c>
      <c r="J106" s="12">
        <v>193</v>
      </c>
      <c r="K106" s="2">
        <f>K105+Tabla32037[[#This Row],[Incremento]]</f>
        <v>393707.8228125</v>
      </c>
      <c r="L106" s="2">
        <v>1624</v>
      </c>
      <c r="N106" s="12">
        <v>193</v>
      </c>
      <c r="O106" s="2">
        <f>O105+Tabla32037[[#This Row],[Incremento]]</f>
        <v>307903.72655000002</v>
      </c>
      <c r="P106" s="2">
        <v>1624</v>
      </c>
      <c r="R106" s="12">
        <v>193</v>
      </c>
      <c r="S106" s="2">
        <f>S105+Tabla32037[[#This Row],[Incremento]]</f>
        <v>211807.3125</v>
      </c>
      <c r="T106" s="2">
        <v>1624</v>
      </c>
      <c r="V106" s="12">
        <v>193</v>
      </c>
      <c r="W106" s="2">
        <f>W105+Tabla32037[[#This Row],[Incremento]]</f>
        <v>739502.61494397931</v>
      </c>
      <c r="X106" s="2">
        <v>1624</v>
      </c>
      <c r="Y106" s="2"/>
      <c r="Z106" s="12">
        <v>193</v>
      </c>
      <c r="AA106" s="2">
        <f>AA105+Tabla32037[[#This Row],[Incremento]]</f>
        <v>268671.06790501636</v>
      </c>
      <c r="AB106" s="2">
        <v>1624</v>
      </c>
      <c r="AC106" s="2"/>
      <c r="AD106" s="12">
        <v>193</v>
      </c>
      <c r="AE106" s="2">
        <f>AE105+Tabla32037[[#This Row],[Incremento]]</f>
        <v>386310.13581003266</v>
      </c>
      <c r="AF106" s="2">
        <v>1624</v>
      </c>
      <c r="AH106" s="12">
        <v>193</v>
      </c>
      <c r="AI106" s="2">
        <f>AI105+Tabla32037[[#This Row],[Incremento]]</f>
        <v>386310.13581003266</v>
      </c>
      <c r="AJ106" s="2">
        <v>1624</v>
      </c>
      <c r="AM106" s="34">
        <v>193</v>
      </c>
      <c r="AN106" s="32">
        <f>AN105+Tabla32037[[#This Row],[Incremento]]</f>
        <v>480421.39013404562</v>
      </c>
      <c r="AO106" s="32">
        <v>1624</v>
      </c>
      <c r="AQ106" s="12">
        <v>193</v>
      </c>
      <c r="AR106" s="2">
        <f>AR105+Tabla32037[[#This Row],[Incremento]]</f>
        <v>374546.22901953099</v>
      </c>
      <c r="AS106" s="2">
        <v>1624</v>
      </c>
      <c r="AU106" s="12">
        <v>193</v>
      </c>
      <c r="AV106" s="2">
        <f>AV105+Tabla32037[[#This Row],[Incremento]]</f>
        <v>565317.60438719997</v>
      </c>
      <c r="AW106" s="2">
        <v>1624</v>
      </c>
      <c r="AX106" s="2"/>
      <c r="AY106" s="12">
        <v>193</v>
      </c>
      <c r="AZ106" s="2">
        <f>AZ105+Tabla32037[[#This Row],[Incremento]]</f>
        <v>1759340.9533449123</v>
      </c>
      <c r="BA106" s="2">
        <v>1624</v>
      </c>
      <c r="BC106" s="12">
        <v>193</v>
      </c>
      <c r="BD106" s="2">
        <f>BD105+Tabla32037[[#This Row],[Incremento]]</f>
        <v>289127.20146240003</v>
      </c>
      <c r="BE106" s="2">
        <v>1624</v>
      </c>
    </row>
    <row r="107" spans="3:57" ht="17" customHeight="1" x14ac:dyDescent="0.2">
      <c r="C107" s="2"/>
      <c r="D107" s="2"/>
      <c r="F107" s="12">
        <v>194</v>
      </c>
      <c r="G107" s="2">
        <f>G106+Tabla32037[[#This Row],[Incremento]]</f>
        <v>395331.8228125</v>
      </c>
      <c r="H107" s="2">
        <v>1624</v>
      </c>
      <c r="J107" s="12">
        <v>194</v>
      </c>
      <c r="K107" s="2">
        <f>K106+Tabla32037[[#This Row],[Incremento]]</f>
        <v>395331.8228125</v>
      </c>
      <c r="L107" s="2">
        <v>1624</v>
      </c>
      <c r="N107" s="12">
        <v>194</v>
      </c>
      <c r="O107" s="2">
        <f>O106+Tabla32037[[#This Row],[Incremento]]</f>
        <v>309527.72655000002</v>
      </c>
      <c r="P107" s="2">
        <v>1624</v>
      </c>
      <c r="R107" s="12">
        <v>194</v>
      </c>
      <c r="S107" s="2">
        <f>S106+Tabla32037[[#This Row],[Incremento]]</f>
        <v>213431.3125</v>
      </c>
      <c r="T107" s="2">
        <v>1624</v>
      </c>
      <c r="V107" s="12">
        <v>194</v>
      </c>
      <c r="W107" s="2">
        <f>W106+Tabla32037[[#This Row],[Incremento]]</f>
        <v>741126.61494397931</v>
      </c>
      <c r="X107" s="2">
        <v>1624</v>
      </c>
      <c r="Y107" s="2"/>
      <c r="Z107" s="12">
        <v>194</v>
      </c>
      <c r="AA107" s="2">
        <f>AA106+Tabla32037[[#This Row],[Incremento]]</f>
        <v>270295.06790501636</v>
      </c>
      <c r="AB107" s="2">
        <v>1624</v>
      </c>
      <c r="AC107" s="2"/>
      <c r="AD107" s="12">
        <v>194</v>
      </c>
      <c r="AE107" s="2">
        <f>AE106+Tabla32037[[#This Row],[Incremento]]</f>
        <v>387934.13581003266</v>
      </c>
      <c r="AF107" s="2">
        <v>1624</v>
      </c>
      <c r="AH107" s="12">
        <v>194</v>
      </c>
      <c r="AI107" s="2">
        <f>AI106+Tabla32037[[#This Row],[Incremento]]</f>
        <v>387934.13581003266</v>
      </c>
      <c r="AJ107" s="2">
        <v>1624</v>
      </c>
      <c r="AM107" s="35">
        <v>194</v>
      </c>
      <c r="AN107" s="10">
        <f>AN106+Tabla32037[[#This Row],[Incremento]]</f>
        <v>482045.39013404562</v>
      </c>
      <c r="AO107" s="10">
        <v>1624</v>
      </c>
      <c r="AQ107" s="12">
        <v>194</v>
      </c>
      <c r="AR107" s="2">
        <f>AR106+Tabla32037[[#This Row],[Incremento]]</f>
        <v>376170.22901953099</v>
      </c>
      <c r="AS107" s="2">
        <v>1624</v>
      </c>
      <c r="AU107" s="12">
        <v>194</v>
      </c>
      <c r="AV107" s="2">
        <f>AV106+Tabla32037[[#This Row],[Incremento]]</f>
        <v>566941.60438719997</v>
      </c>
      <c r="AW107" s="2">
        <v>1624</v>
      </c>
      <c r="AX107" s="2"/>
      <c r="AY107" s="12">
        <v>194</v>
      </c>
      <c r="AZ107" s="2">
        <f>AZ106+Tabla32037[[#This Row],[Incremento]]</f>
        <v>1760964.9533449123</v>
      </c>
      <c r="BA107" s="2">
        <v>1624</v>
      </c>
      <c r="BC107" s="12">
        <v>194</v>
      </c>
      <c r="BD107" s="2">
        <f>BD106+Tabla32037[[#This Row],[Incremento]]</f>
        <v>290751.20146240003</v>
      </c>
      <c r="BE107" s="2">
        <v>1624</v>
      </c>
    </row>
    <row r="108" spans="3:57" ht="17" customHeight="1" x14ac:dyDescent="0.2">
      <c r="C108" s="2"/>
      <c r="D108" s="2"/>
      <c r="F108" s="12">
        <v>195</v>
      </c>
      <c r="G108" s="2">
        <f>G107+Tabla32037[[#This Row],[Incremento]]</f>
        <v>396955.8228125</v>
      </c>
      <c r="H108" s="2">
        <v>1624</v>
      </c>
      <c r="J108" s="12">
        <v>195</v>
      </c>
      <c r="K108" s="2">
        <f>K107+Tabla32037[[#This Row],[Incremento]]</f>
        <v>396955.8228125</v>
      </c>
      <c r="L108" s="2">
        <v>1624</v>
      </c>
      <c r="N108" s="12">
        <v>195</v>
      </c>
      <c r="O108" s="2">
        <f>O107+Tabla32037[[#This Row],[Incremento]]</f>
        <v>311151.72655000002</v>
      </c>
      <c r="P108" s="2">
        <v>1624</v>
      </c>
      <c r="R108" s="12">
        <v>195</v>
      </c>
      <c r="S108" s="2">
        <f>S107+Tabla32037[[#This Row],[Incremento]]</f>
        <v>215055.3125</v>
      </c>
      <c r="T108" s="2">
        <v>1624</v>
      </c>
      <c r="V108" s="12">
        <v>195</v>
      </c>
      <c r="W108" s="2">
        <f>W107+Tabla32037[[#This Row],[Incremento]]</f>
        <v>742750.61494397931</v>
      </c>
      <c r="X108" s="2">
        <v>1624</v>
      </c>
      <c r="Y108" s="2"/>
      <c r="Z108" s="12">
        <v>195</v>
      </c>
      <c r="AA108" s="2">
        <f>AA107+Tabla32037[[#This Row],[Incremento]]</f>
        <v>271919.06790501636</v>
      </c>
      <c r="AB108" s="2">
        <v>1624</v>
      </c>
      <c r="AC108" s="2"/>
      <c r="AD108" s="12">
        <v>195</v>
      </c>
      <c r="AE108" s="2">
        <f>AE107+Tabla32037[[#This Row],[Incremento]]</f>
        <v>389558.13581003266</v>
      </c>
      <c r="AF108" s="2">
        <v>1624</v>
      </c>
      <c r="AH108" s="12">
        <v>195</v>
      </c>
      <c r="AI108" s="2">
        <f>AI107+Tabla32037[[#This Row],[Incremento]]</f>
        <v>389558.13581003266</v>
      </c>
      <c r="AJ108" s="2">
        <v>1624</v>
      </c>
      <c r="AM108" s="34">
        <v>195</v>
      </c>
      <c r="AN108" s="32">
        <f>AN107+Tabla32037[[#This Row],[Incremento]]</f>
        <v>483669.39013404562</v>
      </c>
      <c r="AO108" s="32">
        <v>1624</v>
      </c>
      <c r="AQ108" s="12">
        <v>195</v>
      </c>
      <c r="AR108" s="2">
        <f>AR107+Tabla32037[[#This Row],[Incremento]]</f>
        <v>377794.22901953099</v>
      </c>
      <c r="AS108" s="2">
        <v>1624</v>
      </c>
      <c r="AU108" s="12">
        <v>195</v>
      </c>
      <c r="AV108" s="2">
        <f>AV107+Tabla32037[[#This Row],[Incremento]]</f>
        <v>568565.60438719997</v>
      </c>
      <c r="AW108" s="2">
        <v>1624</v>
      </c>
      <c r="AX108" s="2"/>
      <c r="AY108" s="12">
        <v>195</v>
      </c>
      <c r="AZ108" s="2">
        <f>AZ107+Tabla32037[[#This Row],[Incremento]]</f>
        <v>1762588.9533449123</v>
      </c>
      <c r="BA108" s="2">
        <v>1624</v>
      </c>
      <c r="BC108" s="12">
        <v>195</v>
      </c>
      <c r="BD108" s="2">
        <f>BD107+Tabla32037[[#This Row],[Incremento]]</f>
        <v>292375.20146240003</v>
      </c>
      <c r="BE108" s="2">
        <v>1624</v>
      </c>
    </row>
    <row r="109" spans="3:57" ht="17" customHeight="1" x14ac:dyDescent="0.2">
      <c r="C109" s="2"/>
      <c r="D109" s="2"/>
      <c r="F109" s="12">
        <v>196</v>
      </c>
      <c r="G109" s="2">
        <f>G108+Tabla32037[[#This Row],[Incremento]]</f>
        <v>398579.8228125</v>
      </c>
      <c r="H109" s="2">
        <v>1624</v>
      </c>
      <c r="J109" s="12">
        <v>196</v>
      </c>
      <c r="K109" s="2">
        <f>K108+Tabla32037[[#This Row],[Incremento]]</f>
        <v>398579.8228125</v>
      </c>
      <c r="L109" s="2">
        <v>1624</v>
      </c>
      <c r="N109" s="12">
        <v>196</v>
      </c>
      <c r="O109" s="2">
        <f>O108+Tabla32037[[#This Row],[Incremento]]</f>
        <v>312775.72655000002</v>
      </c>
      <c r="P109" s="2">
        <v>1624</v>
      </c>
      <c r="R109" s="12">
        <v>196</v>
      </c>
      <c r="S109" s="2">
        <f>S108+Tabla32037[[#This Row],[Incremento]]</f>
        <v>216679.3125</v>
      </c>
      <c r="T109" s="2">
        <v>1624</v>
      </c>
      <c r="V109" s="12">
        <v>196</v>
      </c>
      <c r="W109" s="2">
        <f>W108+Tabla32037[[#This Row],[Incremento]]</f>
        <v>744374.61494397931</v>
      </c>
      <c r="X109" s="2">
        <v>1624</v>
      </c>
      <c r="Y109" s="2"/>
      <c r="Z109" s="12">
        <v>196</v>
      </c>
      <c r="AA109" s="2">
        <f>AA108+Tabla32037[[#This Row],[Incremento]]</f>
        <v>273543.06790501636</v>
      </c>
      <c r="AB109" s="2">
        <v>1624</v>
      </c>
      <c r="AC109" s="2"/>
      <c r="AD109" s="12">
        <v>196</v>
      </c>
      <c r="AE109" s="2">
        <f>AE108+Tabla32037[[#This Row],[Incremento]]</f>
        <v>391182.13581003266</v>
      </c>
      <c r="AF109" s="2">
        <v>1624</v>
      </c>
      <c r="AH109" s="12">
        <v>196</v>
      </c>
      <c r="AI109" s="2">
        <f>AI108+Tabla32037[[#This Row],[Incremento]]</f>
        <v>391182.13581003266</v>
      </c>
      <c r="AJ109" s="2">
        <v>1624</v>
      </c>
      <c r="AM109" s="35">
        <v>196</v>
      </c>
      <c r="AN109" s="10">
        <f>AN108+Tabla32037[[#This Row],[Incremento]]</f>
        <v>485293.39013404562</v>
      </c>
      <c r="AO109" s="10">
        <v>1624</v>
      </c>
      <c r="AQ109" s="12">
        <v>196</v>
      </c>
      <c r="AR109" s="2">
        <f>AR108+Tabla32037[[#This Row],[Incremento]]</f>
        <v>379418.22901953099</v>
      </c>
      <c r="AS109" s="2">
        <v>1624</v>
      </c>
      <c r="AU109" s="12">
        <v>196</v>
      </c>
      <c r="AV109" s="2">
        <f>AV108+Tabla32037[[#This Row],[Incremento]]</f>
        <v>570189.60438719997</v>
      </c>
      <c r="AW109" s="2">
        <v>1624</v>
      </c>
      <c r="AX109" s="2"/>
      <c r="AY109" s="12">
        <v>196</v>
      </c>
      <c r="AZ109" s="2">
        <f>AZ108+Tabla32037[[#This Row],[Incremento]]</f>
        <v>1764212.9533449123</v>
      </c>
      <c r="BA109" s="2">
        <v>1624</v>
      </c>
      <c r="BC109" s="12">
        <v>196</v>
      </c>
      <c r="BD109" s="2">
        <f>BD108+Tabla32037[[#This Row],[Incremento]]</f>
        <v>293999.20146240003</v>
      </c>
      <c r="BE109" s="2">
        <v>1624</v>
      </c>
    </row>
    <row r="110" spans="3:57" ht="17" customHeight="1" x14ac:dyDescent="0.2">
      <c r="C110" s="2"/>
      <c r="D110" s="2"/>
      <c r="F110" s="12">
        <v>197</v>
      </c>
      <c r="G110" s="2">
        <f>G109+Tabla32037[[#This Row],[Incremento]]</f>
        <v>400203.8228125</v>
      </c>
      <c r="H110" s="2">
        <v>1624</v>
      </c>
      <c r="J110" s="12">
        <v>197</v>
      </c>
      <c r="K110" s="2">
        <f>K109+Tabla32037[[#This Row],[Incremento]]</f>
        <v>400203.8228125</v>
      </c>
      <c r="L110" s="2">
        <v>1624</v>
      </c>
      <c r="N110" s="12">
        <v>197</v>
      </c>
      <c r="O110" s="2">
        <f>O109+Tabla32037[[#This Row],[Incremento]]</f>
        <v>314399.72655000002</v>
      </c>
      <c r="P110" s="2">
        <v>1624</v>
      </c>
      <c r="R110" s="12">
        <v>197</v>
      </c>
      <c r="S110" s="2">
        <f>S109+Tabla32037[[#This Row],[Incremento]]</f>
        <v>218303.3125</v>
      </c>
      <c r="T110" s="2">
        <v>1624</v>
      </c>
      <c r="V110" s="12">
        <v>197</v>
      </c>
      <c r="W110" s="2">
        <f>W109+Tabla32037[[#This Row],[Incremento]]</f>
        <v>745998.61494397931</v>
      </c>
      <c r="X110" s="2">
        <v>1624</v>
      </c>
      <c r="Y110" s="2"/>
      <c r="Z110" s="12">
        <v>197</v>
      </c>
      <c r="AA110" s="2">
        <f>AA109+Tabla32037[[#This Row],[Incremento]]</f>
        <v>275167.06790501636</v>
      </c>
      <c r="AB110" s="2">
        <v>1624</v>
      </c>
      <c r="AC110" s="2"/>
      <c r="AD110" s="12">
        <v>197</v>
      </c>
      <c r="AE110" s="2">
        <f>AE109+Tabla32037[[#This Row],[Incremento]]</f>
        <v>392806.13581003266</v>
      </c>
      <c r="AF110" s="2">
        <v>1624</v>
      </c>
      <c r="AH110" s="12">
        <v>197</v>
      </c>
      <c r="AI110" s="2">
        <f>AI109+Tabla32037[[#This Row],[Incremento]]</f>
        <v>392806.13581003266</v>
      </c>
      <c r="AJ110" s="2">
        <v>1624</v>
      </c>
      <c r="AM110" s="34">
        <v>197</v>
      </c>
      <c r="AN110" s="32">
        <f>AN109+Tabla32037[[#This Row],[Incremento]]</f>
        <v>486917.39013404562</v>
      </c>
      <c r="AO110" s="32">
        <v>1624</v>
      </c>
      <c r="AQ110" s="12">
        <v>197</v>
      </c>
      <c r="AR110" s="2">
        <f>AR109+Tabla32037[[#This Row],[Incremento]]</f>
        <v>381042.22901953099</v>
      </c>
      <c r="AS110" s="2">
        <v>1624</v>
      </c>
      <c r="AU110" s="12">
        <v>197</v>
      </c>
      <c r="AV110" s="2">
        <f>AV109+Tabla32037[[#This Row],[Incremento]]</f>
        <v>571813.60438719997</v>
      </c>
      <c r="AW110" s="2">
        <v>1624</v>
      </c>
      <c r="AX110" s="2"/>
      <c r="AY110" s="12">
        <v>197</v>
      </c>
      <c r="AZ110" s="2">
        <f>AZ109+Tabla32037[[#This Row],[Incremento]]</f>
        <v>1765836.9533449123</v>
      </c>
      <c r="BA110" s="2">
        <v>1624</v>
      </c>
      <c r="BC110" s="12">
        <v>197</v>
      </c>
      <c r="BD110" s="2">
        <f>BD109+Tabla32037[[#This Row],[Incremento]]</f>
        <v>295623.20146240003</v>
      </c>
      <c r="BE110" s="2">
        <v>1624</v>
      </c>
    </row>
    <row r="111" spans="3:57" ht="17" customHeight="1" x14ac:dyDescent="0.2">
      <c r="C111" s="2"/>
      <c r="D111" s="2"/>
      <c r="F111" s="12">
        <v>198</v>
      </c>
      <c r="G111" s="2">
        <f>G110+Tabla32037[[#This Row],[Incremento]]</f>
        <v>401827.8228125</v>
      </c>
      <c r="H111" s="2">
        <v>1624</v>
      </c>
      <c r="J111" s="12">
        <v>198</v>
      </c>
      <c r="K111" s="2">
        <f>K110+Tabla32037[[#This Row],[Incremento]]</f>
        <v>401827.8228125</v>
      </c>
      <c r="L111" s="2">
        <v>1624</v>
      </c>
      <c r="N111" s="12">
        <v>198</v>
      </c>
      <c r="O111" s="2">
        <f>O110+Tabla32037[[#This Row],[Incremento]]</f>
        <v>316023.72655000002</v>
      </c>
      <c r="P111" s="2">
        <v>1624</v>
      </c>
      <c r="R111" s="12">
        <v>198</v>
      </c>
      <c r="S111" s="2">
        <f>S110+Tabla32037[[#This Row],[Incremento]]</f>
        <v>219927.3125</v>
      </c>
      <c r="T111" s="2">
        <v>1624</v>
      </c>
      <c r="V111" s="12">
        <v>198</v>
      </c>
      <c r="W111" s="2">
        <f>W110+Tabla32037[[#This Row],[Incremento]]</f>
        <v>747622.61494397931</v>
      </c>
      <c r="X111" s="2">
        <v>1624</v>
      </c>
      <c r="Y111" s="2"/>
      <c r="Z111" s="12">
        <v>198</v>
      </c>
      <c r="AA111" s="2">
        <f>AA110+Tabla32037[[#This Row],[Incremento]]</f>
        <v>276791.06790501636</v>
      </c>
      <c r="AB111" s="2">
        <v>1624</v>
      </c>
      <c r="AC111" s="2"/>
      <c r="AD111" s="12">
        <v>198</v>
      </c>
      <c r="AE111" s="2">
        <f>AE110+Tabla32037[[#This Row],[Incremento]]</f>
        <v>394430.13581003266</v>
      </c>
      <c r="AF111" s="2">
        <v>1624</v>
      </c>
      <c r="AH111" s="12">
        <v>198</v>
      </c>
      <c r="AI111" s="2">
        <f>AI110+Tabla32037[[#This Row],[Incremento]]</f>
        <v>394430.13581003266</v>
      </c>
      <c r="AJ111" s="2">
        <v>1624</v>
      </c>
      <c r="AM111" s="35">
        <v>198</v>
      </c>
      <c r="AN111" s="10">
        <f>AN110+Tabla32037[[#This Row],[Incremento]]</f>
        <v>488541.39013404562</v>
      </c>
      <c r="AO111" s="10">
        <v>1624</v>
      </c>
      <c r="AQ111" s="12">
        <v>198</v>
      </c>
      <c r="AR111" s="2">
        <f>AR110+Tabla32037[[#This Row],[Incremento]]</f>
        <v>382666.22901953099</v>
      </c>
      <c r="AS111" s="2">
        <v>1624</v>
      </c>
      <c r="AU111" s="12">
        <v>198</v>
      </c>
      <c r="AV111" s="2">
        <f>AV110+Tabla32037[[#This Row],[Incremento]]</f>
        <v>573437.60438719997</v>
      </c>
      <c r="AW111" s="2">
        <v>1624</v>
      </c>
      <c r="AX111" s="2"/>
      <c r="AY111" s="12">
        <v>198</v>
      </c>
      <c r="AZ111" s="2">
        <f>AZ110+Tabla32037[[#This Row],[Incremento]]</f>
        <v>1767460.9533449123</v>
      </c>
      <c r="BA111" s="2">
        <v>1624</v>
      </c>
      <c r="BC111" s="12">
        <v>198</v>
      </c>
      <c r="BD111" s="2">
        <f>BD110+Tabla32037[[#This Row],[Incremento]]</f>
        <v>297247.20146240003</v>
      </c>
      <c r="BE111" s="2">
        <v>1624</v>
      </c>
    </row>
    <row r="112" spans="3:57" ht="17" customHeight="1" x14ac:dyDescent="0.2">
      <c r="C112" s="2"/>
      <c r="D112" s="2"/>
      <c r="F112" s="12">
        <v>199</v>
      </c>
      <c r="G112" s="2">
        <f>G111+Tabla32037[[#This Row],[Incremento]]</f>
        <v>403451.8228125</v>
      </c>
      <c r="H112" s="2">
        <v>1624</v>
      </c>
      <c r="J112" s="12">
        <v>199</v>
      </c>
      <c r="K112" s="2">
        <f>K111+Tabla32037[[#This Row],[Incremento]]</f>
        <v>403451.8228125</v>
      </c>
      <c r="L112" s="2">
        <v>1624</v>
      </c>
      <c r="N112" s="12">
        <v>199</v>
      </c>
      <c r="O112" s="2">
        <f>O111+Tabla32037[[#This Row],[Incremento]]</f>
        <v>317647.72655000002</v>
      </c>
      <c r="P112" s="2">
        <v>1624</v>
      </c>
      <c r="R112" s="12">
        <v>199</v>
      </c>
      <c r="S112" s="2">
        <f>S111+Tabla32037[[#This Row],[Incremento]]</f>
        <v>221551.3125</v>
      </c>
      <c r="T112" s="2">
        <v>1624</v>
      </c>
      <c r="V112" s="12">
        <v>199</v>
      </c>
      <c r="W112" s="2">
        <f>W111+Tabla32037[[#This Row],[Incremento]]</f>
        <v>749246.61494397931</v>
      </c>
      <c r="X112" s="2">
        <v>1624</v>
      </c>
      <c r="Y112" s="2"/>
      <c r="Z112" s="12">
        <v>199</v>
      </c>
      <c r="AA112" s="2">
        <f>AA111+Tabla32037[[#This Row],[Incremento]]</f>
        <v>278415.06790501636</v>
      </c>
      <c r="AB112" s="2">
        <v>1624</v>
      </c>
      <c r="AC112" s="2"/>
      <c r="AD112" s="12">
        <v>199</v>
      </c>
      <c r="AE112" s="2">
        <f>AE111+Tabla32037[[#This Row],[Incremento]]</f>
        <v>396054.13581003266</v>
      </c>
      <c r="AF112" s="2">
        <v>1624</v>
      </c>
      <c r="AH112" s="12">
        <v>199</v>
      </c>
      <c r="AI112" s="2">
        <f>AI111+Tabla32037[[#This Row],[Incremento]]</f>
        <v>396054.13581003266</v>
      </c>
      <c r="AJ112" s="2">
        <v>1624</v>
      </c>
      <c r="AM112" s="34">
        <v>199</v>
      </c>
      <c r="AN112" s="32">
        <f>AN111+Tabla32037[[#This Row],[Incremento]]</f>
        <v>490165.39013404562</v>
      </c>
      <c r="AO112" s="32">
        <v>1624</v>
      </c>
      <c r="AQ112" s="12">
        <v>199</v>
      </c>
      <c r="AR112" s="2">
        <f>AR111+Tabla32037[[#This Row],[Incremento]]</f>
        <v>384290.22901953099</v>
      </c>
      <c r="AS112" s="2">
        <v>1624</v>
      </c>
      <c r="AU112" s="12">
        <v>199</v>
      </c>
      <c r="AV112" s="2">
        <f>AV111+Tabla32037[[#This Row],[Incremento]]</f>
        <v>575061.60438719997</v>
      </c>
      <c r="AW112" s="2">
        <v>1624</v>
      </c>
      <c r="AX112" s="2"/>
      <c r="AY112" s="12">
        <v>199</v>
      </c>
      <c r="AZ112" s="2">
        <f>AZ111+Tabla32037[[#This Row],[Incremento]]</f>
        <v>1769084.9533449123</v>
      </c>
      <c r="BA112" s="2">
        <v>1624</v>
      </c>
      <c r="BC112" s="12">
        <v>199</v>
      </c>
      <c r="BD112" s="2">
        <f>BD111+Tabla32037[[#This Row],[Incremento]]</f>
        <v>298871.20146240003</v>
      </c>
      <c r="BE112" s="2">
        <v>1624</v>
      </c>
    </row>
    <row r="113" spans="3:57" ht="17" customHeight="1" x14ac:dyDescent="0.2">
      <c r="C113" s="2"/>
      <c r="D113" s="2"/>
      <c r="F113" s="12">
        <v>200</v>
      </c>
      <c r="G113" s="2">
        <f>G112+Tabla32037[[#This Row],[Incremento]]</f>
        <v>405075.8228125</v>
      </c>
      <c r="H113" s="2">
        <v>1624</v>
      </c>
      <c r="J113" s="12">
        <v>200</v>
      </c>
      <c r="K113" s="2">
        <f>K112+Tabla32037[[#This Row],[Incremento]]</f>
        <v>405075.8228125</v>
      </c>
      <c r="L113" s="2">
        <v>1624</v>
      </c>
      <c r="N113" s="12">
        <v>200</v>
      </c>
      <c r="O113" s="2">
        <f>O112+Tabla32037[[#This Row],[Incremento]]</f>
        <v>319271.72655000002</v>
      </c>
      <c r="P113" s="2">
        <v>1624</v>
      </c>
      <c r="R113" s="12">
        <v>200</v>
      </c>
      <c r="S113" s="2">
        <f>S112+Tabla32037[[#This Row],[Incremento]]</f>
        <v>223175.3125</v>
      </c>
      <c r="T113" s="2">
        <v>1624</v>
      </c>
      <c r="V113" s="12">
        <v>200</v>
      </c>
      <c r="W113" s="2">
        <f>W112+Tabla32037[[#This Row],[Incremento]]</f>
        <v>750870.61494397931</v>
      </c>
      <c r="X113" s="2">
        <v>1624</v>
      </c>
      <c r="Y113" s="2"/>
      <c r="Z113" s="12">
        <v>200</v>
      </c>
      <c r="AA113" s="2">
        <f>AA112+Tabla32037[[#This Row],[Incremento]]</f>
        <v>280039.06790501636</v>
      </c>
      <c r="AB113" s="2">
        <v>1624</v>
      </c>
      <c r="AC113" s="2"/>
      <c r="AD113" s="12">
        <v>200</v>
      </c>
      <c r="AE113" s="2">
        <f>AE112+Tabla32037[[#This Row],[Incremento]]</f>
        <v>397678.13581003266</v>
      </c>
      <c r="AF113" s="2">
        <v>1624</v>
      </c>
      <c r="AH113" s="12">
        <v>200</v>
      </c>
      <c r="AI113" s="2">
        <f>AI112+Tabla32037[[#This Row],[Incremento]]</f>
        <v>397678.13581003266</v>
      </c>
      <c r="AJ113" s="2">
        <v>1624</v>
      </c>
      <c r="AM113" s="35">
        <v>200</v>
      </c>
      <c r="AN113" s="10">
        <f>AN112+Tabla32037[[#This Row],[Incremento]]</f>
        <v>491789.39013404562</v>
      </c>
      <c r="AO113" s="10">
        <v>1624</v>
      </c>
      <c r="AQ113" s="12">
        <v>200</v>
      </c>
      <c r="AR113" s="2">
        <f>AR112+Tabla32037[[#This Row],[Incremento]]</f>
        <v>385914.22901953099</v>
      </c>
      <c r="AS113" s="2">
        <v>1624</v>
      </c>
      <c r="AU113" s="12">
        <v>200</v>
      </c>
      <c r="AV113" s="2">
        <f>AV112+Tabla32037[[#This Row],[Incremento]]</f>
        <v>576685.60438719997</v>
      </c>
      <c r="AW113" s="2">
        <v>1624</v>
      </c>
      <c r="AX113" s="2"/>
      <c r="AY113" s="12">
        <v>200</v>
      </c>
      <c r="AZ113" s="2">
        <f>AZ112+Tabla32037[[#This Row],[Incremento]]</f>
        <v>1770708.9533449123</v>
      </c>
      <c r="BA113" s="2">
        <v>1624</v>
      </c>
      <c r="BC113" s="12">
        <v>200</v>
      </c>
      <c r="BD113" s="2">
        <f>BD112+Tabla32037[[#This Row],[Incremento]]</f>
        <v>300495.20146240003</v>
      </c>
      <c r="BE113" s="2">
        <v>1624</v>
      </c>
    </row>
    <row r="114" spans="3:57" ht="17" customHeight="1" x14ac:dyDescent="0.2">
      <c r="C114" s="2"/>
      <c r="D114" s="2"/>
      <c r="F114" s="12">
        <v>201</v>
      </c>
      <c r="G114" s="2">
        <f>G113+Tabla32037[[#This Row],[Incremento]]</f>
        <v>406699.8228125</v>
      </c>
      <c r="H114" s="2">
        <v>1624</v>
      </c>
      <c r="J114" s="12">
        <v>201</v>
      </c>
      <c r="K114" s="2">
        <f>K113+Tabla32037[[#This Row],[Incremento]]</f>
        <v>406699.8228125</v>
      </c>
      <c r="L114" s="2">
        <v>1624</v>
      </c>
      <c r="N114" s="12">
        <v>201</v>
      </c>
      <c r="O114" s="2">
        <f>O113+Tabla32037[[#This Row],[Incremento]]</f>
        <v>320895.72655000002</v>
      </c>
      <c r="P114" s="2">
        <v>1624</v>
      </c>
      <c r="R114" s="12">
        <v>201</v>
      </c>
      <c r="S114" s="2">
        <f>S113+Tabla32037[[#This Row],[Incremento]]</f>
        <v>224799.3125</v>
      </c>
      <c r="T114" s="2">
        <v>1624</v>
      </c>
      <c r="V114" s="12">
        <v>201</v>
      </c>
      <c r="W114" s="2">
        <f>W113+Tabla32037[[#This Row],[Incremento]]</f>
        <v>752494.61494397931</v>
      </c>
      <c r="X114" s="2">
        <v>1624</v>
      </c>
      <c r="Y114" s="2"/>
      <c r="Z114" s="12">
        <v>201</v>
      </c>
      <c r="AA114" s="2">
        <f>AA113+Tabla32037[[#This Row],[Incremento]]</f>
        <v>281663.06790501636</v>
      </c>
      <c r="AB114" s="2">
        <v>1624</v>
      </c>
      <c r="AC114" s="2"/>
      <c r="AD114" s="12">
        <v>201</v>
      </c>
      <c r="AE114" s="2">
        <f>AE113+Tabla32037[[#This Row],[Incremento]]</f>
        <v>399302.13581003266</v>
      </c>
      <c r="AF114" s="2">
        <v>1624</v>
      </c>
      <c r="AH114" s="12">
        <v>201</v>
      </c>
      <c r="AI114" s="2">
        <f>AI113+Tabla32037[[#This Row],[Incremento]]</f>
        <v>399302.13581003266</v>
      </c>
      <c r="AJ114" s="2">
        <v>1624</v>
      </c>
      <c r="AM114" s="34">
        <v>201</v>
      </c>
      <c r="AN114" s="32">
        <f>AN113+Tabla32037[[#This Row],[Incremento]]</f>
        <v>493413.39013404562</v>
      </c>
      <c r="AO114" s="32">
        <v>1624</v>
      </c>
      <c r="AQ114" s="12">
        <v>201</v>
      </c>
      <c r="AR114" s="2">
        <f>AR113+Tabla32037[[#This Row],[Incremento]]</f>
        <v>387538.22901953099</v>
      </c>
      <c r="AS114" s="2">
        <v>1624</v>
      </c>
      <c r="AU114" s="12">
        <v>201</v>
      </c>
      <c r="AV114" s="2">
        <f>AV113+Tabla32037[[#This Row],[Incremento]]</f>
        <v>578309.60438719997</v>
      </c>
      <c r="AW114" s="2">
        <v>1624</v>
      </c>
      <c r="AX114" s="2"/>
      <c r="AY114" s="12">
        <v>201</v>
      </c>
      <c r="AZ114" s="2">
        <f>AZ113+Tabla32037[[#This Row],[Incremento]]</f>
        <v>1772332.9533449123</v>
      </c>
      <c r="BA114" s="2">
        <v>1624</v>
      </c>
      <c r="BC114" s="12">
        <v>201</v>
      </c>
      <c r="BD114" s="2">
        <f>BD113+Tabla32037[[#This Row],[Incremento]]</f>
        <v>302119.20146240003</v>
      </c>
      <c r="BE114" s="2">
        <v>1624</v>
      </c>
    </row>
    <row r="115" spans="3:57" ht="17" customHeight="1" x14ac:dyDescent="0.2">
      <c r="C115" s="2"/>
      <c r="D115" s="2"/>
      <c r="F115" s="12">
        <v>202</v>
      </c>
      <c r="G115" s="2">
        <f>G114+Tabla32037[[#This Row],[Incremento]]</f>
        <v>408323.8228125</v>
      </c>
      <c r="H115" s="2">
        <v>1624</v>
      </c>
      <c r="J115" s="12">
        <v>202</v>
      </c>
      <c r="K115" s="2">
        <f>K114+Tabla32037[[#This Row],[Incremento]]</f>
        <v>408323.8228125</v>
      </c>
      <c r="L115" s="2">
        <v>1624</v>
      </c>
      <c r="N115" s="12">
        <v>202</v>
      </c>
      <c r="O115" s="2">
        <f>O114+Tabla32037[[#This Row],[Incremento]]</f>
        <v>322519.72655000002</v>
      </c>
      <c r="P115" s="2">
        <v>1624</v>
      </c>
      <c r="R115" s="12">
        <v>202</v>
      </c>
      <c r="S115" s="2">
        <f>S114+Tabla32037[[#This Row],[Incremento]]</f>
        <v>226423.3125</v>
      </c>
      <c r="T115" s="2">
        <v>1624</v>
      </c>
      <c r="V115" s="12">
        <v>202</v>
      </c>
      <c r="W115" s="2">
        <f>W114+Tabla32037[[#This Row],[Incremento]]</f>
        <v>754118.61494397931</v>
      </c>
      <c r="X115" s="2">
        <v>1624</v>
      </c>
      <c r="Y115" s="2"/>
      <c r="Z115" s="12">
        <v>202</v>
      </c>
      <c r="AA115" s="2">
        <f>AA114+Tabla32037[[#This Row],[Incremento]]</f>
        <v>283287.06790501636</v>
      </c>
      <c r="AB115" s="2">
        <v>1624</v>
      </c>
      <c r="AC115" s="2"/>
      <c r="AD115" s="12">
        <v>202</v>
      </c>
      <c r="AE115" s="2">
        <f>AE114+Tabla32037[[#This Row],[Incremento]]</f>
        <v>400926.13581003266</v>
      </c>
      <c r="AF115" s="2">
        <v>1624</v>
      </c>
      <c r="AH115" s="12">
        <v>202</v>
      </c>
      <c r="AI115" s="2">
        <f>AI114+Tabla32037[[#This Row],[Incremento]]</f>
        <v>400926.13581003266</v>
      </c>
      <c r="AJ115" s="2">
        <v>1624</v>
      </c>
      <c r="AM115" s="35">
        <v>202</v>
      </c>
      <c r="AN115" s="10">
        <f>AN114+Tabla32037[[#This Row],[Incremento]]</f>
        <v>495037.39013404562</v>
      </c>
      <c r="AO115" s="10">
        <v>1624</v>
      </c>
      <c r="AQ115" s="12">
        <v>202</v>
      </c>
      <c r="AR115" s="2">
        <f>AR114+Tabla32037[[#This Row],[Incremento]]</f>
        <v>389162.22901953099</v>
      </c>
      <c r="AS115" s="2">
        <v>1624</v>
      </c>
      <c r="AU115" s="12">
        <v>202</v>
      </c>
      <c r="AV115" s="2">
        <f>AV114+Tabla32037[[#This Row],[Incremento]]</f>
        <v>579933.60438719997</v>
      </c>
      <c r="AW115" s="2">
        <v>1624</v>
      </c>
      <c r="AX115" s="2"/>
      <c r="AY115" s="12">
        <v>202</v>
      </c>
      <c r="AZ115" s="2">
        <f>AZ114+Tabla32037[[#This Row],[Incremento]]</f>
        <v>1773956.9533449123</v>
      </c>
      <c r="BA115" s="2">
        <v>1624</v>
      </c>
      <c r="BC115" s="12">
        <v>202</v>
      </c>
      <c r="BD115" s="2">
        <f>BD114+Tabla32037[[#This Row],[Incremento]]</f>
        <v>303743.20146240003</v>
      </c>
      <c r="BE115" s="2">
        <v>1624</v>
      </c>
    </row>
    <row r="116" spans="3:57" ht="17" customHeight="1" x14ac:dyDescent="0.2">
      <c r="C116" s="2"/>
      <c r="D116" s="2"/>
      <c r="F116" s="12">
        <v>203</v>
      </c>
      <c r="G116" s="2">
        <f>G115+Tabla32037[[#This Row],[Incremento]]</f>
        <v>409947.8228125</v>
      </c>
      <c r="H116" s="2">
        <v>1624</v>
      </c>
      <c r="J116" s="12">
        <v>203</v>
      </c>
      <c r="K116" s="2">
        <f>K115+Tabla32037[[#This Row],[Incremento]]</f>
        <v>409947.8228125</v>
      </c>
      <c r="L116" s="2">
        <v>1624</v>
      </c>
      <c r="N116" s="12">
        <v>203</v>
      </c>
      <c r="O116" s="2">
        <f>O115+Tabla32037[[#This Row],[Incremento]]</f>
        <v>324143.72655000002</v>
      </c>
      <c r="P116" s="2">
        <v>1624</v>
      </c>
      <c r="R116" s="12">
        <v>203</v>
      </c>
      <c r="S116" s="2">
        <f>S115+Tabla32037[[#This Row],[Incremento]]</f>
        <v>228047.3125</v>
      </c>
      <c r="T116" s="2">
        <v>1624</v>
      </c>
      <c r="V116" s="12">
        <v>203</v>
      </c>
      <c r="W116" s="2">
        <f>W115+Tabla32037[[#This Row],[Incremento]]</f>
        <v>755742.61494397931</v>
      </c>
      <c r="X116" s="2">
        <v>1624</v>
      </c>
      <c r="Y116" s="2"/>
      <c r="Z116" s="12">
        <v>203</v>
      </c>
      <c r="AA116" s="2">
        <f>AA115+Tabla32037[[#This Row],[Incremento]]</f>
        <v>284911.06790501636</v>
      </c>
      <c r="AB116" s="2">
        <v>1624</v>
      </c>
      <c r="AC116" s="2"/>
      <c r="AD116" s="12">
        <v>203</v>
      </c>
      <c r="AE116" s="2">
        <f>AE115+Tabla32037[[#This Row],[Incremento]]</f>
        <v>402550.13581003266</v>
      </c>
      <c r="AF116" s="2">
        <v>1624</v>
      </c>
      <c r="AH116" s="12">
        <v>203</v>
      </c>
      <c r="AI116" s="2">
        <f>AI115+Tabla32037[[#This Row],[Incremento]]</f>
        <v>402550.13581003266</v>
      </c>
      <c r="AJ116" s="2">
        <v>1624</v>
      </c>
      <c r="AM116" s="34">
        <v>203</v>
      </c>
      <c r="AN116" s="32">
        <f>AN115+Tabla32037[[#This Row],[Incremento]]</f>
        <v>496661.39013404562</v>
      </c>
      <c r="AO116" s="32">
        <v>1624</v>
      </c>
      <c r="AQ116" s="12">
        <v>203</v>
      </c>
      <c r="AR116" s="2">
        <f>AR115+Tabla32037[[#This Row],[Incremento]]</f>
        <v>390786.22901953099</v>
      </c>
      <c r="AS116" s="2">
        <v>1624</v>
      </c>
      <c r="AU116" s="12">
        <v>203</v>
      </c>
      <c r="AV116" s="2">
        <f>AV115+Tabla32037[[#This Row],[Incremento]]</f>
        <v>581557.60438719997</v>
      </c>
      <c r="AW116" s="2">
        <v>1624</v>
      </c>
      <c r="AX116" s="2"/>
      <c r="AY116" s="12">
        <v>203</v>
      </c>
      <c r="AZ116" s="2">
        <f>AZ115+Tabla32037[[#This Row],[Incremento]]</f>
        <v>1775580.9533449123</v>
      </c>
      <c r="BA116" s="2">
        <v>1624</v>
      </c>
      <c r="BC116" s="12">
        <v>203</v>
      </c>
      <c r="BD116" s="2">
        <f>BD115+Tabla32037[[#This Row],[Incremento]]</f>
        <v>305367.20146240003</v>
      </c>
      <c r="BE116" s="2">
        <v>1624</v>
      </c>
    </row>
    <row r="117" spans="3:57" ht="17" customHeight="1" x14ac:dyDescent="0.2">
      <c r="C117" s="2"/>
      <c r="D117" s="2"/>
      <c r="F117" s="12">
        <v>204</v>
      </c>
      <c r="G117" s="2">
        <f>G116+Tabla32037[[#This Row],[Incremento]]</f>
        <v>411571.8228125</v>
      </c>
      <c r="H117" s="2">
        <v>1624</v>
      </c>
      <c r="J117" s="12">
        <v>204</v>
      </c>
      <c r="K117" s="2">
        <f>K116+Tabla32037[[#This Row],[Incremento]]</f>
        <v>411571.8228125</v>
      </c>
      <c r="L117" s="2">
        <v>1624</v>
      </c>
      <c r="N117" s="12">
        <v>204</v>
      </c>
      <c r="O117" s="2">
        <f>O116+Tabla32037[[#This Row],[Incremento]]</f>
        <v>325767.72655000002</v>
      </c>
      <c r="P117" s="2">
        <v>1624</v>
      </c>
      <c r="R117" s="12">
        <v>204</v>
      </c>
      <c r="S117" s="2">
        <f>S116+Tabla32037[[#This Row],[Incremento]]</f>
        <v>229671.3125</v>
      </c>
      <c r="T117" s="2">
        <v>1624</v>
      </c>
      <c r="V117" s="12">
        <v>204</v>
      </c>
      <c r="W117" s="2">
        <f>W116+Tabla32037[[#This Row],[Incremento]]</f>
        <v>757366.61494397931</v>
      </c>
      <c r="X117" s="2">
        <v>1624</v>
      </c>
      <c r="Y117" s="2"/>
      <c r="Z117" s="12">
        <v>204</v>
      </c>
      <c r="AA117" s="2">
        <f>AA116+Tabla32037[[#This Row],[Incremento]]</f>
        <v>286535.06790501636</v>
      </c>
      <c r="AB117" s="2">
        <v>1624</v>
      </c>
      <c r="AC117" s="2"/>
      <c r="AD117" s="12">
        <v>204</v>
      </c>
      <c r="AE117" s="2">
        <f>AE116+Tabla32037[[#This Row],[Incremento]]</f>
        <v>404174.13581003266</v>
      </c>
      <c r="AF117" s="2">
        <v>1624</v>
      </c>
      <c r="AH117" s="12">
        <v>204</v>
      </c>
      <c r="AI117" s="2">
        <f>AI116+Tabla32037[[#This Row],[Incremento]]</f>
        <v>404174.13581003266</v>
      </c>
      <c r="AJ117" s="2">
        <v>1624</v>
      </c>
      <c r="AM117" s="35">
        <v>204</v>
      </c>
      <c r="AN117" s="10">
        <f>AN116+Tabla32037[[#This Row],[Incremento]]</f>
        <v>498285.39013404562</v>
      </c>
      <c r="AO117" s="10">
        <v>1624</v>
      </c>
      <c r="AQ117" s="12">
        <v>204</v>
      </c>
      <c r="AR117" s="2">
        <f>AR116+Tabla32037[[#This Row],[Incremento]]</f>
        <v>392410.22901953099</v>
      </c>
      <c r="AS117" s="2">
        <v>1624</v>
      </c>
      <c r="AU117" s="12">
        <v>204</v>
      </c>
      <c r="AV117" s="2">
        <f>AV116+Tabla32037[[#This Row],[Incremento]]</f>
        <v>583181.60438719997</v>
      </c>
      <c r="AW117" s="2">
        <v>1624</v>
      </c>
      <c r="AX117" s="2"/>
      <c r="AY117" s="12">
        <v>204</v>
      </c>
      <c r="AZ117" s="2">
        <f>AZ116+Tabla32037[[#This Row],[Incremento]]</f>
        <v>1777204.9533449123</v>
      </c>
      <c r="BA117" s="2">
        <v>1624</v>
      </c>
      <c r="BC117" s="12">
        <v>204</v>
      </c>
      <c r="BD117" s="2">
        <f>BD116+Tabla32037[[#This Row],[Incremento]]</f>
        <v>306991.20146240003</v>
      </c>
      <c r="BE117" s="2">
        <v>1624</v>
      </c>
    </row>
    <row r="118" spans="3:57" ht="17" customHeight="1" x14ac:dyDescent="0.2">
      <c r="C118" s="2"/>
      <c r="D118" s="2"/>
      <c r="F118" s="12">
        <v>205</v>
      </c>
      <c r="G118" s="2">
        <f>G117+Tabla32037[[#This Row],[Incremento]]</f>
        <v>413195.8228125</v>
      </c>
      <c r="H118" s="2">
        <v>1624</v>
      </c>
      <c r="J118" s="12">
        <v>205</v>
      </c>
      <c r="K118" s="2">
        <f>K117+Tabla32037[[#This Row],[Incremento]]</f>
        <v>413195.8228125</v>
      </c>
      <c r="L118" s="2">
        <v>1624</v>
      </c>
      <c r="N118" s="12">
        <v>205</v>
      </c>
      <c r="O118" s="2">
        <f>O117+Tabla32037[[#This Row],[Incremento]]</f>
        <v>327391.72655000002</v>
      </c>
      <c r="P118" s="2">
        <v>1624</v>
      </c>
      <c r="R118" s="12">
        <v>205</v>
      </c>
      <c r="S118" s="2">
        <f>S117+Tabla32037[[#This Row],[Incremento]]</f>
        <v>231295.3125</v>
      </c>
      <c r="T118" s="2">
        <v>1624</v>
      </c>
      <c r="V118" s="12">
        <v>205</v>
      </c>
      <c r="W118" s="2">
        <f>W117+Tabla32037[[#This Row],[Incremento]]</f>
        <v>758990.61494397931</v>
      </c>
      <c r="X118" s="2">
        <v>1624</v>
      </c>
      <c r="Y118" s="2"/>
      <c r="Z118" s="12">
        <v>205</v>
      </c>
      <c r="AA118" s="2">
        <f>AA117+Tabla32037[[#This Row],[Incremento]]</f>
        <v>288159.06790501636</v>
      </c>
      <c r="AB118" s="2">
        <v>1624</v>
      </c>
      <c r="AC118" s="2"/>
      <c r="AD118" s="12">
        <v>205</v>
      </c>
      <c r="AE118" s="2">
        <f>AE117+Tabla32037[[#This Row],[Incremento]]</f>
        <v>405798.13581003266</v>
      </c>
      <c r="AF118" s="2">
        <v>1624</v>
      </c>
      <c r="AH118" s="12">
        <v>205</v>
      </c>
      <c r="AI118" s="2">
        <f>AI117+Tabla32037[[#This Row],[Incremento]]</f>
        <v>405798.13581003266</v>
      </c>
      <c r="AJ118" s="2">
        <v>1624</v>
      </c>
      <c r="AM118" s="34">
        <v>205</v>
      </c>
      <c r="AN118" s="32">
        <f>AN117+Tabla32037[[#This Row],[Incremento]]</f>
        <v>499909.39013404562</v>
      </c>
      <c r="AO118" s="32">
        <v>1624</v>
      </c>
      <c r="AQ118" s="12">
        <v>205</v>
      </c>
      <c r="AR118" s="2">
        <f>AR117+Tabla32037[[#This Row],[Incremento]]</f>
        <v>394034.22901953099</v>
      </c>
      <c r="AS118" s="2">
        <v>1624</v>
      </c>
      <c r="AU118" s="12">
        <v>205</v>
      </c>
      <c r="AV118" s="2">
        <f>AV117+Tabla32037[[#This Row],[Incremento]]</f>
        <v>584805.60438719997</v>
      </c>
      <c r="AW118" s="2">
        <v>1624</v>
      </c>
      <c r="AX118" s="2"/>
      <c r="AY118" s="12">
        <v>205</v>
      </c>
      <c r="AZ118" s="2">
        <f>AZ117+Tabla32037[[#This Row],[Incremento]]</f>
        <v>1778828.9533449123</v>
      </c>
      <c r="BA118" s="2">
        <v>1624</v>
      </c>
      <c r="BC118" s="12">
        <v>205</v>
      </c>
      <c r="BD118" s="2">
        <f>BD117+Tabla32037[[#This Row],[Incremento]]</f>
        <v>308615.20146240003</v>
      </c>
      <c r="BE118" s="2">
        <v>1624</v>
      </c>
    </row>
    <row r="119" spans="3:57" ht="17" customHeight="1" x14ac:dyDescent="0.2">
      <c r="C119" s="2"/>
      <c r="D119" s="2"/>
      <c r="F119" s="12">
        <v>206</v>
      </c>
      <c r="G119" s="2">
        <f>G118+Tabla32037[[#This Row],[Incremento]]</f>
        <v>414819.8228125</v>
      </c>
      <c r="H119" s="2">
        <v>1624</v>
      </c>
      <c r="J119" s="12">
        <v>206</v>
      </c>
      <c r="K119" s="2">
        <f>K118+Tabla32037[[#This Row],[Incremento]]</f>
        <v>414819.8228125</v>
      </c>
      <c r="L119" s="2">
        <v>1624</v>
      </c>
      <c r="N119" s="12">
        <v>206</v>
      </c>
      <c r="O119" s="2">
        <f>O118+Tabla32037[[#This Row],[Incremento]]</f>
        <v>329015.72655000002</v>
      </c>
      <c r="P119" s="2">
        <v>1624</v>
      </c>
      <c r="R119" s="12">
        <v>206</v>
      </c>
      <c r="S119" s="2">
        <f>S118+Tabla32037[[#This Row],[Incremento]]</f>
        <v>232919.3125</v>
      </c>
      <c r="T119" s="2">
        <v>1624</v>
      </c>
      <c r="V119" s="12">
        <v>206</v>
      </c>
      <c r="W119" s="2">
        <f>W118+Tabla32037[[#This Row],[Incremento]]</f>
        <v>760614.61494397931</v>
      </c>
      <c r="X119" s="2">
        <v>1624</v>
      </c>
      <c r="Y119" s="2"/>
      <c r="Z119" s="12">
        <v>206</v>
      </c>
      <c r="AA119" s="2">
        <f>AA118+Tabla32037[[#This Row],[Incremento]]</f>
        <v>289783.06790501636</v>
      </c>
      <c r="AB119" s="2">
        <v>1624</v>
      </c>
      <c r="AC119" s="2"/>
      <c r="AD119" s="12">
        <v>206</v>
      </c>
      <c r="AE119" s="2">
        <f>AE118+Tabla32037[[#This Row],[Incremento]]</f>
        <v>407422.13581003266</v>
      </c>
      <c r="AF119" s="2">
        <v>1624</v>
      </c>
      <c r="AH119" s="12">
        <v>206</v>
      </c>
      <c r="AI119" s="2">
        <f>AI118+Tabla32037[[#This Row],[Incremento]]</f>
        <v>407422.13581003266</v>
      </c>
      <c r="AJ119" s="2">
        <v>1624</v>
      </c>
      <c r="AM119" s="35">
        <v>206</v>
      </c>
      <c r="AN119" s="10">
        <f>AN118+Tabla32037[[#This Row],[Incremento]]</f>
        <v>501533.39013404562</v>
      </c>
      <c r="AO119" s="10">
        <v>1624</v>
      </c>
      <c r="AQ119" s="12">
        <v>206</v>
      </c>
      <c r="AR119" s="2">
        <f>AR118+Tabla32037[[#This Row],[Incremento]]</f>
        <v>395658.22901953099</v>
      </c>
      <c r="AS119" s="2">
        <v>1624</v>
      </c>
      <c r="AU119" s="12">
        <v>206</v>
      </c>
      <c r="AV119" s="2">
        <f>AV118+Tabla32037[[#This Row],[Incremento]]</f>
        <v>586429.60438719997</v>
      </c>
      <c r="AW119" s="2">
        <v>1624</v>
      </c>
      <c r="AX119" s="2"/>
      <c r="AY119" s="12">
        <v>206</v>
      </c>
      <c r="AZ119" s="2">
        <f>AZ118+Tabla32037[[#This Row],[Incremento]]</f>
        <v>1780452.9533449123</v>
      </c>
      <c r="BA119" s="2">
        <v>1624</v>
      </c>
      <c r="BC119" s="12">
        <v>206</v>
      </c>
      <c r="BD119" s="2">
        <f>BD118+Tabla32037[[#This Row],[Incremento]]</f>
        <v>310239.20146240003</v>
      </c>
      <c r="BE119" s="2">
        <v>1624</v>
      </c>
    </row>
    <row r="120" spans="3:57" ht="17" customHeight="1" x14ac:dyDescent="0.2">
      <c r="C120" s="2"/>
      <c r="D120" s="2"/>
      <c r="F120" s="12">
        <v>207</v>
      </c>
      <c r="G120" s="2">
        <f>G119+Tabla32037[[#This Row],[Incremento]]</f>
        <v>416443.8228125</v>
      </c>
      <c r="H120" s="2">
        <v>1624</v>
      </c>
      <c r="J120" s="12">
        <v>207</v>
      </c>
      <c r="K120" s="2">
        <f>K119+Tabla32037[[#This Row],[Incremento]]</f>
        <v>416443.8228125</v>
      </c>
      <c r="L120" s="2">
        <v>1624</v>
      </c>
      <c r="N120" s="12">
        <v>207</v>
      </c>
      <c r="O120" s="2">
        <f>O119+Tabla32037[[#This Row],[Incremento]]</f>
        <v>330639.72655000002</v>
      </c>
      <c r="P120" s="2">
        <v>1624</v>
      </c>
      <c r="R120" s="12">
        <v>207</v>
      </c>
      <c r="S120" s="2">
        <f>S119+Tabla32037[[#This Row],[Incremento]]</f>
        <v>234543.3125</v>
      </c>
      <c r="T120" s="2">
        <v>1624</v>
      </c>
      <c r="V120" s="12">
        <v>207</v>
      </c>
      <c r="W120" s="2">
        <f>W119+Tabla32037[[#This Row],[Incremento]]</f>
        <v>762238.61494397931</v>
      </c>
      <c r="X120" s="2">
        <v>1624</v>
      </c>
      <c r="Y120" s="2"/>
      <c r="Z120" s="12">
        <v>207</v>
      </c>
      <c r="AA120" s="2">
        <f>AA119+Tabla32037[[#This Row],[Incremento]]</f>
        <v>291407.06790501636</v>
      </c>
      <c r="AB120" s="2">
        <v>1624</v>
      </c>
      <c r="AC120" s="2"/>
      <c r="AD120" s="12">
        <v>207</v>
      </c>
      <c r="AE120" s="2">
        <f>AE119+Tabla32037[[#This Row],[Incremento]]</f>
        <v>409046.13581003266</v>
      </c>
      <c r="AF120" s="2">
        <v>1624</v>
      </c>
      <c r="AH120" s="12">
        <v>207</v>
      </c>
      <c r="AI120" s="2">
        <f>AI119+Tabla32037[[#This Row],[Incremento]]</f>
        <v>409046.13581003266</v>
      </c>
      <c r="AJ120" s="2">
        <v>1624</v>
      </c>
      <c r="AM120" s="34">
        <v>207</v>
      </c>
      <c r="AN120" s="32">
        <f>AN119+Tabla32037[[#This Row],[Incremento]]</f>
        <v>503157.39013404562</v>
      </c>
      <c r="AO120" s="32">
        <v>1624</v>
      </c>
      <c r="AQ120" s="12">
        <v>207</v>
      </c>
      <c r="AR120" s="2">
        <f>AR119+Tabla32037[[#This Row],[Incremento]]</f>
        <v>397282.22901953099</v>
      </c>
      <c r="AS120" s="2">
        <v>1624</v>
      </c>
      <c r="AU120" s="12">
        <v>207</v>
      </c>
      <c r="AV120" s="2">
        <f>AV119+Tabla32037[[#This Row],[Incremento]]</f>
        <v>588053.60438719997</v>
      </c>
      <c r="AW120" s="2">
        <v>1624</v>
      </c>
      <c r="AX120" s="2"/>
      <c r="AY120" s="12">
        <v>207</v>
      </c>
      <c r="AZ120" s="2">
        <f>AZ119+Tabla32037[[#This Row],[Incremento]]</f>
        <v>1782076.9533449123</v>
      </c>
      <c r="BA120" s="2">
        <v>1624</v>
      </c>
      <c r="BC120" s="12">
        <v>207</v>
      </c>
      <c r="BD120" s="2">
        <f>BD119+Tabla32037[[#This Row],[Incremento]]</f>
        <v>311863.20146240003</v>
      </c>
      <c r="BE120" s="2">
        <v>1624</v>
      </c>
    </row>
    <row r="121" spans="3:57" ht="17" customHeight="1" x14ac:dyDescent="0.2">
      <c r="C121" s="2"/>
      <c r="D121" s="2"/>
      <c r="F121" s="12">
        <v>208</v>
      </c>
      <c r="G121" s="2">
        <f>G120+Tabla32037[[#This Row],[Incremento]]</f>
        <v>418067.8228125</v>
      </c>
      <c r="H121" s="2">
        <v>1624</v>
      </c>
      <c r="J121" s="12">
        <v>208</v>
      </c>
      <c r="K121" s="2">
        <f>K120+Tabla32037[[#This Row],[Incremento]]</f>
        <v>418067.8228125</v>
      </c>
      <c r="L121" s="2">
        <v>1624</v>
      </c>
      <c r="N121" s="12">
        <v>208</v>
      </c>
      <c r="O121" s="2">
        <f>O120+Tabla32037[[#This Row],[Incremento]]</f>
        <v>332263.72655000002</v>
      </c>
      <c r="P121" s="2">
        <v>1624</v>
      </c>
      <c r="R121" s="12">
        <v>208</v>
      </c>
      <c r="S121" s="2">
        <f>S120+Tabla32037[[#This Row],[Incremento]]</f>
        <v>236167.3125</v>
      </c>
      <c r="T121" s="2">
        <v>1624</v>
      </c>
      <c r="V121" s="12">
        <v>208</v>
      </c>
      <c r="W121" s="2">
        <f>W120+Tabla32037[[#This Row],[Incremento]]</f>
        <v>763862.61494397931</v>
      </c>
      <c r="X121" s="2">
        <v>1624</v>
      </c>
      <c r="Y121" s="2"/>
      <c r="Z121" s="12">
        <v>208</v>
      </c>
      <c r="AA121" s="2">
        <f>AA120+Tabla32037[[#This Row],[Incremento]]</f>
        <v>293031.06790501636</v>
      </c>
      <c r="AB121" s="2">
        <v>1624</v>
      </c>
      <c r="AC121" s="2"/>
      <c r="AD121" s="12">
        <v>208</v>
      </c>
      <c r="AE121" s="2">
        <f>AE120+Tabla32037[[#This Row],[Incremento]]</f>
        <v>410670.13581003266</v>
      </c>
      <c r="AF121" s="2">
        <v>1624</v>
      </c>
      <c r="AH121" s="12">
        <v>208</v>
      </c>
      <c r="AI121" s="2">
        <f>AI120+Tabla32037[[#This Row],[Incremento]]</f>
        <v>410670.13581003266</v>
      </c>
      <c r="AJ121" s="2">
        <v>1624</v>
      </c>
      <c r="AM121" s="35">
        <v>208</v>
      </c>
      <c r="AN121" s="10">
        <f>AN120+Tabla32037[[#This Row],[Incremento]]</f>
        <v>504781.39013404562</v>
      </c>
      <c r="AO121" s="10">
        <v>1624</v>
      </c>
      <c r="AQ121" s="12">
        <v>208</v>
      </c>
      <c r="AR121" s="2">
        <f>AR120+Tabla32037[[#This Row],[Incremento]]</f>
        <v>398906.22901953099</v>
      </c>
      <c r="AS121" s="2">
        <v>1624</v>
      </c>
      <c r="AU121" s="12">
        <v>208</v>
      </c>
      <c r="AV121" s="2">
        <f>AV120+Tabla32037[[#This Row],[Incremento]]</f>
        <v>589677.60438719997</v>
      </c>
      <c r="AW121" s="2">
        <v>1624</v>
      </c>
      <c r="AX121" s="2"/>
      <c r="AY121" s="12">
        <v>208</v>
      </c>
      <c r="AZ121" s="2">
        <f>AZ120+Tabla32037[[#This Row],[Incremento]]</f>
        <v>1783700.9533449123</v>
      </c>
      <c r="BA121" s="2">
        <v>1624</v>
      </c>
      <c r="BC121" s="12">
        <v>208</v>
      </c>
      <c r="BD121" s="2">
        <f>BD120+Tabla32037[[#This Row],[Incremento]]</f>
        <v>313487.20146240003</v>
      </c>
      <c r="BE121" s="2">
        <v>1624</v>
      </c>
    </row>
    <row r="122" spans="3:57" ht="17" customHeight="1" x14ac:dyDescent="0.2">
      <c r="C122" s="2"/>
      <c r="D122" s="2"/>
      <c r="F122" s="12">
        <v>209</v>
      </c>
      <c r="G122" s="2">
        <f>G121+Tabla32037[[#This Row],[Incremento]]</f>
        <v>419691.8228125</v>
      </c>
      <c r="H122" s="2">
        <v>1624</v>
      </c>
      <c r="J122" s="12">
        <v>209</v>
      </c>
      <c r="K122" s="2">
        <f>K121+Tabla32037[[#This Row],[Incremento]]</f>
        <v>419691.8228125</v>
      </c>
      <c r="L122" s="2">
        <v>1624</v>
      </c>
      <c r="N122" s="12">
        <v>209</v>
      </c>
      <c r="O122" s="2">
        <f>O121+Tabla32037[[#This Row],[Incremento]]</f>
        <v>333887.72655000002</v>
      </c>
      <c r="P122" s="2">
        <v>1624</v>
      </c>
      <c r="R122" s="12">
        <v>209</v>
      </c>
      <c r="S122" s="2">
        <f>S121+Tabla32037[[#This Row],[Incremento]]</f>
        <v>237791.3125</v>
      </c>
      <c r="T122" s="2">
        <v>1624</v>
      </c>
      <c r="V122" s="12">
        <v>209</v>
      </c>
      <c r="W122" s="2">
        <f>W121+Tabla32037[[#This Row],[Incremento]]</f>
        <v>765486.61494397931</v>
      </c>
      <c r="X122" s="2">
        <v>1624</v>
      </c>
      <c r="Y122" s="2"/>
      <c r="Z122" s="12">
        <v>209</v>
      </c>
      <c r="AA122" s="2">
        <f>AA121+Tabla32037[[#This Row],[Incremento]]</f>
        <v>294655.06790501636</v>
      </c>
      <c r="AB122" s="2">
        <v>1624</v>
      </c>
      <c r="AC122" s="2"/>
      <c r="AD122" s="12">
        <v>209</v>
      </c>
      <c r="AE122" s="2">
        <f>AE121+Tabla32037[[#This Row],[Incremento]]</f>
        <v>412294.13581003266</v>
      </c>
      <c r="AF122" s="2">
        <v>1624</v>
      </c>
      <c r="AH122" s="12">
        <v>209</v>
      </c>
      <c r="AI122" s="2">
        <f>AI121+Tabla32037[[#This Row],[Incremento]]</f>
        <v>412294.13581003266</v>
      </c>
      <c r="AJ122" s="2">
        <v>1624</v>
      </c>
      <c r="AM122" s="34">
        <v>209</v>
      </c>
      <c r="AN122" s="32">
        <f>AN121+Tabla32037[[#This Row],[Incremento]]</f>
        <v>506405.39013404562</v>
      </c>
      <c r="AO122" s="32">
        <v>1624</v>
      </c>
      <c r="AQ122" s="12">
        <v>209</v>
      </c>
      <c r="AR122" s="2">
        <f>AR121+Tabla32037[[#This Row],[Incremento]]</f>
        <v>400530.22901953099</v>
      </c>
      <c r="AS122" s="2">
        <v>1624</v>
      </c>
      <c r="AU122" s="12">
        <v>209</v>
      </c>
      <c r="AV122" s="2">
        <f>AV121+Tabla32037[[#This Row],[Incremento]]</f>
        <v>591301.60438719997</v>
      </c>
      <c r="AW122" s="2">
        <v>1624</v>
      </c>
      <c r="AX122" s="2"/>
      <c r="AY122" s="12">
        <v>209</v>
      </c>
      <c r="AZ122" s="2">
        <f>AZ121+Tabla32037[[#This Row],[Incremento]]</f>
        <v>1785324.9533449123</v>
      </c>
      <c r="BA122" s="2">
        <v>1624</v>
      </c>
      <c r="BC122" s="12">
        <v>209</v>
      </c>
      <c r="BD122" s="2">
        <f>BD121+Tabla32037[[#This Row],[Incremento]]</f>
        <v>315111.20146240003</v>
      </c>
      <c r="BE122" s="2">
        <v>1624</v>
      </c>
    </row>
    <row r="123" spans="3:57" ht="17" customHeight="1" x14ac:dyDescent="0.2">
      <c r="C123" s="2"/>
      <c r="D123" s="2"/>
      <c r="F123" s="12">
        <v>210</v>
      </c>
      <c r="G123" s="2">
        <f>G122+Tabla32037[[#This Row],[Incremento]]</f>
        <v>421315.8228125</v>
      </c>
      <c r="H123" s="2">
        <v>1624</v>
      </c>
      <c r="J123" s="12">
        <v>210</v>
      </c>
      <c r="K123" s="2">
        <f>K122+Tabla32037[[#This Row],[Incremento]]</f>
        <v>421315.8228125</v>
      </c>
      <c r="L123" s="2">
        <v>1624</v>
      </c>
      <c r="N123" s="12">
        <v>210</v>
      </c>
      <c r="O123" s="2">
        <f>O122+Tabla32037[[#This Row],[Incremento]]</f>
        <v>335511.72655000002</v>
      </c>
      <c r="P123" s="2">
        <v>1624</v>
      </c>
      <c r="R123" s="12">
        <v>210</v>
      </c>
      <c r="S123" s="2">
        <f>S122+Tabla32037[[#This Row],[Incremento]]</f>
        <v>239415.3125</v>
      </c>
      <c r="T123" s="2">
        <v>1624</v>
      </c>
      <c r="V123" s="12">
        <v>210</v>
      </c>
      <c r="W123" s="2">
        <f>W122+Tabla32037[[#This Row],[Incremento]]</f>
        <v>767110.61494397931</v>
      </c>
      <c r="X123" s="2">
        <v>1624</v>
      </c>
      <c r="Y123" s="2"/>
      <c r="Z123" s="12">
        <v>210</v>
      </c>
      <c r="AA123" s="2">
        <f>AA122+Tabla32037[[#This Row],[Incremento]]</f>
        <v>296279.06790501636</v>
      </c>
      <c r="AB123" s="2">
        <v>1624</v>
      </c>
      <c r="AC123" s="2"/>
      <c r="AD123" s="12">
        <v>210</v>
      </c>
      <c r="AE123" s="2">
        <f>AE122+Tabla32037[[#This Row],[Incremento]]</f>
        <v>413918.13581003266</v>
      </c>
      <c r="AF123" s="2">
        <v>1624</v>
      </c>
      <c r="AH123" s="12">
        <v>210</v>
      </c>
      <c r="AI123" s="2">
        <f>AI122+Tabla32037[[#This Row],[Incremento]]</f>
        <v>413918.13581003266</v>
      </c>
      <c r="AJ123" s="2">
        <v>1624</v>
      </c>
      <c r="AM123" s="35">
        <v>210</v>
      </c>
      <c r="AN123" s="10">
        <f>AN122+Tabla32037[[#This Row],[Incremento]]</f>
        <v>508029.39013404562</v>
      </c>
      <c r="AO123" s="10">
        <v>1624</v>
      </c>
      <c r="AQ123" s="12">
        <v>210</v>
      </c>
      <c r="AR123" s="2">
        <f>AR122+Tabla32037[[#This Row],[Incremento]]</f>
        <v>402154.22901953099</v>
      </c>
      <c r="AS123" s="2">
        <v>1624</v>
      </c>
      <c r="AU123" s="12">
        <v>210</v>
      </c>
      <c r="AV123" s="2">
        <f>AV122+Tabla32037[[#This Row],[Incremento]]</f>
        <v>592925.60438719997</v>
      </c>
      <c r="AW123" s="2">
        <v>1624</v>
      </c>
      <c r="AX123" s="2"/>
      <c r="AY123" s="12">
        <v>210</v>
      </c>
      <c r="AZ123" s="2">
        <f>AZ122+Tabla32037[[#This Row],[Incremento]]</f>
        <v>1786948.9533449123</v>
      </c>
      <c r="BA123" s="2">
        <v>1624</v>
      </c>
      <c r="BC123" s="12">
        <v>210</v>
      </c>
      <c r="BD123" s="2">
        <f>BD122+Tabla32037[[#This Row],[Incremento]]</f>
        <v>316735.20146240003</v>
      </c>
      <c r="BE123" s="2">
        <v>1624</v>
      </c>
    </row>
    <row r="124" spans="3:57" ht="17" customHeight="1" x14ac:dyDescent="0.2">
      <c r="C124" s="2"/>
      <c r="D124" s="2"/>
      <c r="F124" s="12">
        <v>211</v>
      </c>
      <c r="G124" s="2">
        <f>G123+Tabla32037[[#This Row],[Incremento]]</f>
        <v>422939.8228125</v>
      </c>
      <c r="H124" s="2">
        <v>1624</v>
      </c>
      <c r="J124" s="12">
        <v>211</v>
      </c>
      <c r="K124" s="2">
        <f>K123+Tabla32037[[#This Row],[Incremento]]</f>
        <v>422939.8228125</v>
      </c>
      <c r="L124" s="2">
        <v>1624</v>
      </c>
      <c r="N124" s="12">
        <v>211</v>
      </c>
      <c r="O124" s="2">
        <f>O123+Tabla32037[[#This Row],[Incremento]]</f>
        <v>337135.72655000002</v>
      </c>
      <c r="P124" s="2">
        <v>1624</v>
      </c>
      <c r="R124" s="12">
        <v>211</v>
      </c>
      <c r="S124" s="2">
        <f>S123+Tabla32037[[#This Row],[Incremento]]</f>
        <v>241039.3125</v>
      </c>
      <c r="T124" s="2">
        <v>1624</v>
      </c>
      <c r="V124" s="12">
        <v>211</v>
      </c>
      <c r="W124" s="2">
        <f>W123+Tabla32037[[#This Row],[Incremento]]</f>
        <v>768734.61494397931</v>
      </c>
      <c r="X124" s="2">
        <v>1624</v>
      </c>
      <c r="Y124" s="2"/>
      <c r="Z124" s="12">
        <v>211</v>
      </c>
      <c r="AA124" s="2">
        <f>AA123+Tabla32037[[#This Row],[Incremento]]</f>
        <v>297903.06790501636</v>
      </c>
      <c r="AB124" s="2">
        <v>1624</v>
      </c>
      <c r="AC124" s="2"/>
      <c r="AD124" s="12">
        <v>211</v>
      </c>
      <c r="AE124" s="2">
        <f>AE123+Tabla32037[[#This Row],[Incremento]]</f>
        <v>415542.13581003266</v>
      </c>
      <c r="AF124" s="2">
        <v>1624</v>
      </c>
      <c r="AH124" s="12">
        <v>211</v>
      </c>
      <c r="AI124" s="2">
        <f>AI123+Tabla32037[[#This Row],[Incremento]]</f>
        <v>415542.13581003266</v>
      </c>
      <c r="AJ124" s="2">
        <v>1624</v>
      </c>
      <c r="AM124" s="34">
        <v>211</v>
      </c>
      <c r="AN124" s="32">
        <f>AN123+Tabla32037[[#This Row],[Incremento]]</f>
        <v>509653.39013404562</v>
      </c>
      <c r="AO124" s="32">
        <v>1624</v>
      </c>
      <c r="AQ124" s="12">
        <v>211</v>
      </c>
      <c r="AR124" s="2">
        <f>AR123+Tabla32037[[#This Row],[Incremento]]</f>
        <v>403778.22901953099</v>
      </c>
      <c r="AS124" s="2">
        <v>1624</v>
      </c>
      <c r="AU124" s="12">
        <v>211</v>
      </c>
      <c r="AV124" s="2">
        <f>AV123+Tabla32037[[#This Row],[Incremento]]</f>
        <v>594549.60438719997</v>
      </c>
      <c r="AW124" s="2">
        <v>1624</v>
      </c>
      <c r="AX124" s="2"/>
      <c r="AY124" s="12">
        <v>211</v>
      </c>
      <c r="AZ124" s="2">
        <f>AZ123+Tabla32037[[#This Row],[Incremento]]</f>
        <v>1788572.9533449123</v>
      </c>
      <c r="BA124" s="2">
        <v>1624</v>
      </c>
      <c r="BC124" s="12">
        <v>211</v>
      </c>
      <c r="BD124" s="2">
        <f>BD123+Tabla32037[[#This Row],[Incremento]]</f>
        <v>318359.20146240003</v>
      </c>
      <c r="BE124" s="2">
        <v>1624</v>
      </c>
    </row>
    <row r="125" spans="3:57" ht="17" customHeight="1" x14ac:dyDescent="0.2">
      <c r="C125" s="2"/>
      <c r="D125" s="2"/>
      <c r="F125" s="12">
        <v>212</v>
      </c>
      <c r="G125" s="2">
        <f>G124+Tabla32037[[#This Row],[Incremento]]</f>
        <v>424563.8228125</v>
      </c>
      <c r="H125" s="2">
        <v>1624</v>
      </c>
      <c r="J125" s="12">
        <v>212</v>
      </c>
      <c r="K125" s="2">
        <f>K124+Tabla32037[[#This Row],[Incremento]]</f>
        <v>424563.8228125</v>
      </c>
      <c r="L125" s="2">
        <v>1624</v>
      </c>
      <c r="N125" s="12">
        <v>212</v>
      </c>
      <c r="O125" s="2">
        <f>O124+Tabla32037[[#This Row],[Incremento]]</f>
        <v>338759.72655000002</v>
      </c>
      <c r="P125" s="2">
        <v>1624</v>
      </c>
      <c r="R125" s="12">
        <v>212</v>
      </c>
      <c r="S125" s="2">
        <f>S124+Tabla32037[[#This Row],[Incremento]]</f>
        <v>242663.3125</v>
      </c>
      <c r="T125" s="2">
        <v>1624</v>
      </c>
      <c r="V125" s="12">
        <v>212</v>
      </c>
      <c r="W125" s="2">
        <f>W124+Tabla32037[[#This Row],[Incremento]]</f>
        <v>770358.61494397931</v>
      </c>
      <c r="X125" s="2">
        <v>1624</v>
      </c>
      <c r="Y125" s="2"/>
      <c r="Z125" s="12">
        <v>212</v>
      </c>
      <c r="AA125" s="2">
        <f>AA124+Tabla32037[[#This Row],[Incremento]]</f>
        <v>299527.06790501636</v>
      </c>
      <c r="AB125" s="2">
        <v>1624</v>
      </c>
      <c r="AC125" s="2"/>
      <c r="AD125" s="12">
        <v>212</v>
      </c>
      <c r="AE125" s="2">
        <f>AE124+Tabla32037[[#This Row],[Incremento]]</f>
        <v>417166.13581003266</v>
      </c>
      <c r="AF125" s="2">
        <v>1624</v>
      </c>
      <c r="AH125" s="12">
        <v>212</v>
      </c>
      <c r="AI125" s="2">
        <f>AI124+Tabla32037[[#This Row],[Incremento]]</f>
        <v>417166.13581003266</v>
      </c>
      <c r="AJ125" s="2">
        <v>1624</v>
      </c>
      <c r="AM125" s="35">
        <v>212</v>
      </c>
      <c r="AN125" s="10">
        <f>AN124+Tabla32037[[#This Row],[Incremento]]</f>
        <v>511277.39013404562</v>
      </c>
      <c r="AO125" s="10">
        <v>1624</v>
      </c>
      <c r="AQ125" s="12">
        <v>212</v>
      </c>
      <c r="AR125" s="2">
        <f>AR124+Tabla32037[[#This Row],[Incremento]]</f>
        <v>405402.22901953099</v>
      </c>
      <c r="AS125" s="2">
        <v>1624</v>
      </c>
      <c r="AU125" s="12">
        <v>212</v>
      </c>
      <c r="AV125" s="2">
        <f>AV124+Tabla32037[[#This Row],[Incremento]]</f>
        <v>596173.60438719997</v>
      </c>
      <c r="AW125" s="2">
        <v>1624</v>
      </c>
      <c r="AX125" s="2"/>
      <c r="AY125" s="12">
        <v>212</v>
      </c>
      <c r="AZ125" s="2">
        <f>AZ124+Tabla32037[[#This Row],[Incremento]]</f>
        <v>1790196.9533449123</v>
      </c>
      <c r="BA125" s="2">
        <v>1624</v>
      </c>
      <c r="BC125" s="12">
        <v>212</v>
      </c>
      <c r="BD125" s="2">
        <f>BD124+Tabla32037[[#This Row],[Incremento]]</f>
        <v>319983.20146240003</v>
      </c>
      <c r="BE125" s="2">
        <v>1624</v>
      </c>
    </row>
    <row r="126" spans="3:57" ht="17" customHeight="1" x14ac:dyDescent="0.2">
      <c r="C126" s="2"/>
      <c r="D126" s="2"/>
      <c r="F126" s="12">
        <v>213</v>
      </c>
      <c r="G126" s="2">
        <f>G125+Tabla32037[[#This Row],[Incremento]]</f>
        <v>426187.8228125</v>
      </c>
      <c r="H126" s="2">
        <v>1624</v>
      </c>
      <c r="J126" s="12">
        <v>213</v>
      </c>
      <c r="K126" s="2">
        <f>K125+Tabla32037[[#This Row],[Incremento]]</f>
        <v>426187.8228125</v>
      </c>
      <c r="L126" s="2">
        <v>1624</v>
      </c>
      <c r="N126" s="12">
        <v>213</v>
      </c>
      <c r="O126" s="2">
        <f>O125+Tabla32037[[#This Row],[Incremento]]</f>
        <v>340383.72655000002</v>
      </c>
      <c r="P126" s="2">
        <v>1624</v>
      </c>
      <c r="R126" s="12">
        <v>213</v>
      </c>
      <c r="S126" s="2">
        <f>S125+Tabla32037[[#This Row],[Incremento]]</f>
        <v>244287.3125</v>
      </c>
      <c r="T126" s="2">
        <v>1624</v>
      </c>
      <c r="V126" s="12">
        <v>213</v>
      </c>
      <c r="W126" s="2">
        <f>W125+Tabla32037[[#This Row],[Incremento]]</f>
        <v>771982.61494397931</v>
      </c>
      <c r="X126" s="2">
        <v>1624</v>
      </c>
      <c r="Y126" s="2"/>
      <c r="Z126" s="12">
        <v>213</v>
      </c>
      <c r="AA126" s="2">
        <f>AA125+Tabla32037[[#This Row],[Incremento]]</f>
        <v>301151.06790501636</v>
      </c>
      <c r="AB126" s="2">
        <v>1624</v>
      </c>
      <c r="AC126" s="2"/>
      <c r="AD126" s="12">
        <v>213</v>
      </c>
      <c r="AE126" s="2">
        <f>AE125+Tabla32037[[#This Row],[Incremento]]</f>
        <v>418790.13581003266</v>
      </c>
      <c r="AF126" s="2">
        <v>1624</v>
      </c>
      <c r="AH126" s="12">
        <v>213</v>
      </c>
      <c r="AI126" s="2">
        <f>AI125+Tabla32037[[#This Row],[Incremento]]</f>
        <v>418790.13581003266</v>
      </c>
      <c r="AJ126" s="2">
        <v>1624</v>
      </c>
      <c r="AM126" s="34">
        <v>213</v>
      </c>
      <c r="AN126" s="32">
        <f>AN125+Tabla32037[[#This Row],[Incremento]]</f>
        <v>512901.39013404562</v>
      </c>
      <c r="AO126" s="32">
        <v>1624</v>
      </c>
      <c r="AQ126" s="12">
        <v>213</v>
      </c>
      <c r="AR126" s="2">
        <f>AR125+Tabla32037[[#This Row],[Incremento]]</f>
        <v>407026.22901953099</v>
      </c>
      <c r="AS126" s="2">
        <v>1624</v>
      </c>
      <c r="AU126" s="12">
        <v>213</v>
      </c>
      <c r="AV126" s="2">
        <f>AV125+Tabla32037[[#This Row],[Incremento]]</f>
        <v>597797.60438719997</v>
      </c>
      <c r="AW126" s="2">
        <v>1624</v>
      </c>
      <c r="AX126" s="2"/>
      <c r="AY126" s="12">
        <v>213</v>
      </c>
      <c r="AZ126" s="2">
        <f>AZ125+Tabla32037[[#This Row],[Incremento]]</f>
        <v>1791820.9533449123</v>
      </c>
      <c r="BA126" s="2">
        <v>1624</v>
      </c>
      <c r="BC126" s="12">
        <v>213</v>
      </c>
      <c r="BD126" s="2">
        <f>BD125+Tabla32037[[#This Row],[Incremento]]</f>
        <v>321607.20146240003</v>
      </c>
      <c r="BE126" s="2">
        <v>1624</v>
      </c>
    </row>
    <row r="127" spans="3:57" ht="17" customHeight="1" x14ac:dyDescent="0.2">
      <c r="C127" s="2"/>
      <c r="D127" s="2"/>
      <c r="F127" s="12">
        <v>214</v>
      </c>
      <c r="G127" s="2">
        <f>G126+Tabla32037[[#This Row],[Incremento]]</f>
        <v>427811.8228125</v>
      </c>
      <c r="H127" s="2">
        <v>1624</v>
      </c>
      <c r="J127" s="12">
        <v>214</v>
      </c>
      <c r="K127" s="2">
        <f>K126+Tabla32037[[#This Row],[Incremento]]</f>
        <v>427811.8228125</v>
      </c>
      <c r="L127" s="2">
        <v>1624</v>
      </c>
      <c r="N127" s="12">
        <v>214</v>
      </c>
      <c r="O127" s="2">
        <f>O126+Tabla32037[[#This Row],[Incremento]]</f>
        <v>342007.72655000002</v>
      </c>
      <c r="P127" s="2">
        <v>1624</v>
      </c>
      <c r="R127" s="12">
        <v>214</v>
      </c>
      <c r="S127" s="2">
        <f>S126+Tabla32037[[#This Row],[Incremento]]</f>
        <v>245911.3125</v>
      </c>
      <c r="T127" s="2">
        <v>1624</v>
      </c>
      <c r="V127" s="12">
        <v>214</v>
      </c>
      <c r="W127" s="2">
        <f>W126+Tabla32037[[#This Row],[Incremento]]</f>
        <v>773606.61494397931</v>
      </c>
      <c r="X127" s="2">
        <v>1624</v>
      </c>
      <c r="Y127" s="2"/>
      <c r="Z127" s="12">
        <v>214</v>
      </c>
      <c r="AA127" s="2">
        <f>AA126+Tabla32037[[#This Row],[Incremento]]</f>
        <v>302775.06790501636</v>
      </c>
      <c r="AB127" s="2">
        <v>1624</v>
      </c>
      <c r="AC127" s="2"/>
      <c r="AD127" s="12">
        <v>214</v>
      </c>
      <c r="AE127" s="2">
        <f>AE126+Tabla32037[[#This Row],[Incremento]]</f>
        <v>420414.13581003266</v>
      </c>
      <c r="AF127" s="2">
        <v>1624</v>
      </c>
      <c r="AH127" s="12">
        <v>214</v>
      </c>
      <c r="AI127" s="2">
        <f>AI126+Tabla32037[[#This Row],[Incremento]]</f>
        <v>420414.13581003266</v>
      </c>
      <c r="AJ127" s="2">
        <v>1624</v>
      </c>
      <c r="AM127" s="35">
        <v>214</v>
      </c>
      <c r="AN127" s="10">
        <f>AN126+Tabla32037[[#This Row],[Incremento]]</f>
        <v>514525.39013404562</v>
      </c>
      <c r="AO127" s="10">
        <v>1624</v>
      </c>
      <c r="AQ127" s="12">
        <v>214</v>
      </c>
      <c r="AR127" s="2">
        <f>AR126+Tabla32037[[#This Row],[Incremento]]</f>
        <v>408650.22901953099</v>
      </c>
      <c r="AS127" s="2">
        <v>1624</v>
      </c>
      <c r="AU127" s="12">
        <v>214</v>
      </c>
      <c r="AV127" s="2">
        <f>AV126+Tabla32037[[#This Row],[Incremento]]</f>
        <v>599421.60438719997</v>
      </c>
      <c r="AW127" s="2">
        <v>1624</v>
      </c>
      <c r="AX127" s="2"/>
      <c r="AY127" s="12">
        <v>214</v>
      </c>
      <c r="AZ127" s="2">
        <f>AZ126+Tabla32037[[#This Row],[Incremento]]</f>
        <v>1793444.9533449123</v>
      </c>
      <c r="BA127" s="2">
        <v>1624</v>
      </c>
      <c r="BC127" s="12">
        <v>214</v>
      </c>
      <c r="BD127" s="2">
        <f>BD126+Tabla32037[[#This Row],[Incremento]]</f>
        <v>323231.20146240003</v>
      </c>
      <c r="BE127" s="2">
        <v>1624</v>
      </c>
    </row>
    <row r="128" spans="3:57" ht="17" customHeight="1" x14ac:dyDescent="0.2">
      <c r="C128" s="2"/>
      <c r="D128" s="2"/>
      <c r="F128" s="12">
        <v>215</v>
      </c>
      <c r="G128" s="2">
        <f>G127+Tabla32037[[#This Row],[Incremento]]</f>
        <v>429435.8228125</v>
      </c>
      <c r="H128" s="2">
        <v>1624</v>
      </c>
      <c r="J128" s="12">
        <v>215</v>
      </c>
      <c r="K128" s="2">
        <f>K127+Tabla32037[[#This Row],[Incremento]]</f>
        <v>429435.8228125</v>
      </c>
      <c r="L128" s="2">
        <v>1624</v>
      </c>
      <c r="N128" s="12">
        <v>215</v>
      </c>
      <c r="O128" s="2">
        <f>O127+Tabla32037[[#This Row],[Incremento]]</f>
        <v>343631.72655000002</v>
      </c>
      <c r="P128" s="2">
        <v>1624</v>
      </c>
      <c r="R128" s="12">
        <v>215</v>
      </c>
      <c r="S128" s="2">
        <f>S127+Tabla32037[[#This Row],[Incremento]]</f>
        <v>247535.3125</v>
      </c>
      <c r="T128" s="2">
        <v>1624</v>
      </c>
      <c r="V128" s="12">
        <v>215</v>
      </c>
      <c r="W128" s="2">
        <f>W127+Tabla32037[[#This Row],[Incremento]]</f>
        <v>775230.61494397931</v>
      </c>
      <c r="X128" s="2">
        <v>1624</v>
      </c>
      <c r="Y128" s="2"/>
      <c r="Z128" s="12">
        <v>215</v>
      </c>
      <c r="AA128" s="2">
        <f>AA127+Tabla32037[[#This Row],[Incremento]]</f>
        <v>304399.06790501636</v>
      </c>
      <c r="AB128" s="2">
        <v>1624</v>
      </c>
      <c r="AC128" s="2"/>
      <c r="AD128" s="12">
        <v>215</v>
      </c>
      <c r="AE128" s="2">
        <f>AE127+Tabla32037[[#This Row],[Incremento]]</f>
        <v>422038.13581003266</v>
      </c>
      <c r="AF128" s="2">
        <v>1624</v>
      </c>
      <c r="AH128" s="12">
        <v>215</v>
      </c>
      <c r="AI128" s="2">
        <f>AI127+Tabla32037[[#This Row],[Incremento]]</f>
        <v>422038.13581003266</v>
      </c>
      <c r="AJ128" s="2">
        <v>1624</v>
      </c>
      <c r="AM128" s="34">
        <v>215</v>
      </c>
      <c r="AN128" s="32">
        <f>AN127+Tabla32037[[#This Row],[Incremento]]</f>
        <v>516149.39013404562</v>
      </c>
      <c r="AO128" s="32">
        <v>1624</v>
      </c>
      <c r="AQ128" s="12">
        <v>215</v>
      </c>
      <c r="AR128" s="2">
        <f>AR127+Tabla32037[[#This Row],[Incremento]]</f>
        <v>410274.22901953099</v>
      </c>
      <c r="AS128" s="2">
        <v>1624</v>
      </c>
      <c r="AU128" s="12">
        <v>215</v>
      </c>
      <c r="AV128" s="2">
        <f>AV127+Tabla32037[[#This Row],[Incremento]]</f>
        <v>601045.60438719997</v>
      </c>
      <c r="AW128" s="2">
        <v>1624</v>
      </c>
      <c r="AX128" s="2"/>
      <c r="AY128" s="12">
        <v>215</v>
      </c>
      <c r="AZ128" s="2">
        <f>AZ127+Tabla32037[[#This Row],[Incremento]]</f>
        <v>1795068.9533449123</v>
      </c>
      <c r="BA128" s="2">
        <v>1624</v>
      </c>
      <c r="BC128" s="12">
        <v>215</v>
      </c>
      <c r="BD128" s="2">
        <f>BD127+Tabla32037[[#This Row],[Incremento]]</f>
        <v>324855.20146240003</v>
      </c>
      <c r="BE128" s="2">
        <v>1624</v>
      </c>
    </row>
    <row r="129" spans="3:57" ht="17" customHeight="1" x14ac:dyDescent="0.2">
      <c r="C129" s="2"/>
      <c r="D129" s="2"/>
      <c r="F129" s="12">
        <v>216</v>
      </c>
      <c r="G129" s="2">
        <f>G128+Tabla32037[[#This Row],[Incremento]]</f>
        <v>431059.8228125</v>
      </c>
      <c r="H129" s="2">
        <v>1624</v>
      </c>
      <c r="J129" s="12">
        <v>216</v>
      </c>
      <c r="K129" s="2">
        <f>K128+Tabla32037[[#This Row],[Incremento]]</f>
        <v>431059.8228125</v>
      </c>
      <c r="L129" s="2">
        <v>1624</v>
      </c>
      <c r="N129" s="12">
        <v>216</v>
      </c>
      <c r="O129" s="2">
        <f>O128+Tabla32037[[#This Row],[Incremento]]</f>
        <v>345255.72655000002</v>
      </c>
      <c r="P129" s="2">
        <v>1624</v>
      </c>
      <c r="R129" s="12">
        <v>216</v>
      </c>
      <c r="S129" s="2">
        <f>S128+Tabla32037[[#This Row],[Incremento]]</f>
        <v>249159.3125</v>
      </c>
      <c r="T129" s="2">
        <v>1624</v>
      </c>
      <c r="V129" s="12">
        <v>216</v>
      </c>
      <c r="W129" s="2">
        <f>W128+Tabla32037[[#This Row],[Incremento]]</f>
        <v>776854.61494397931</v>
      </c>
      <c r="X129" s="2">
        <v>1624</v>
      </c>
      <c r="Y129" s="2"/>
      <c r="Z129" s="12">
        <v>216</v>
      </c>
      <c r="AA129" s="2">
        <f>AA128+Tabla32037[[#This Row],[Incremento]]</f>
        <v>306023.06790501636</v>
      </c>
      <c r="AB129" s="2">
        <v>1624</v>
      </c>
      <c r="AC129" s="2"/>
      <c r="AD129" s="12">
        <v>216</v>
      </c>
      <c r="AE129" s="2">
        <f>AE128+Tabla32037[[#This Row],[Incremento]]</f>
        <v>423662.13581003266</v>
      </c>
      <c r="AF129" s="2">
        <v>1624</v>
      </c>
      <c r="AH129" s="12">
        <v>216</v>
      </c>
      <c r="AI129" s="2">
        <f>AI128+Tabla32037[[#This Row],[Incremento]]</f>
        <v>423662.13581003266</v>
      </c>
      <c r="AJ129" s="2">
        <v>1624</v>
      </c>
      <c r="AM129" s="35">
        <v>216</v>
      </c>
      <c r="AN129" s="10">
        <f>AN128+Tabla32037[[#This Row],[Incremento]]</f>
        <v>517773.39013404562</v>
      </c>
      <c r="AO129" s="10">
        <v>1624</v>
      </c>
      <c r="AQ129" s="12">
        <v>216</v>
      </c>
      <c r="AR129" s="2">
        <f>AR128+Tabla32037[[#This Row],[Incremento]]</f>
        <v>411898.22901953099</v>
      </c>
      <c r="AS129" s="2">
        <v>1624</v>
      </c>
      <c r="AU129" s="12">
        <v>216</v>
      </c>
      <c r="AV129" s="2">
        <f>AV128+Tabla32037[[#This Row],[Incremento]]</f>
        <v>602669.60438719997</v>
      </c>
      <c r="AW129" s="2">
        <v>1624</v>
      </c>
      <c r="AX129" s="2"/>
      <c r="AY129" s="12">
        <v>216</v>
      </c>
      <c r="AZ129" s="2">
        <f>AZ128+Tabla32037[[#This Row],[Incremento]]</f>
        <v>1796692.9533449123</v>
      </c>
      <c r="BA129" s="2">
        <v>1624</v>
      </c>
      <c r="BC129" s="12">
        <v>216</v>
      </c>
      <c r="BD129" s="2">
        <f>BD128+Tabla32037[[#This Row],[Incremento]]</f>
        <v>326479.20146240003</v>
      </c>
      <c r="BE129" s="2">
        <v>1624</v>
      </c>
    </row>
    <row r="130" spans="3:57" ht="17" customHeight="1" x14ac:dyDescent="0.2">
      <c r="C130" s="2"/>
      <c r="D130" s="2"/>
      <c r="F130" s="12">
        <v>217</v>
      </c>
      <c r="G130" s="2">
        <f>G129+Tabla32037[[#This Row],[Incremento]]</f>
        <v>432683.8228125</v>
      </c>
      <c r="H130" s="2">
        <v>1624</v>
      </c>
      <c r="J130" s="12">
        <v>217</v>
      </c>
      <c r="K130" s="2">
        <f>K129+Tabla32037[[#This Row],[Incremento]]</f>
        <v>432683.8228125</v>
      </c>
      <c r="L130" s="2">
        <v>1624</v>
      </c>
      <c r="N130" s="12">
        <v>217</v>
      </c>
      <c r="O130" s="2">
        <f>O129+Tabla32037[[#This Row],[Incremento]]</f>
        <v>346879.72655000002</v>
      </c>
      <c r="P130" s="2">
        <v>1624</v>
      </c>
      <c r="R130" s="12">
        <v>217</v>
      </c>
      <c r="S130" s="2">
        <f>S129+Tabla32037[[#This Row],[Incremento]]</f>
        <v>250783.3125</v>
      </c>
      <c r="T130" s="2">
        <v>1624</v>
      </c>
      <c r="V130" s="12">
        <v>217</v>
      </c>
      <c r="W130" s="2">
        <f>W129+Tabla32037[[#This Row],[Incremento]]</f>
        <v>778478.61494397931</v>
      </c>
      <c r="X130" s="2">
        <v>1624</v>
      </c>
      <c r="Y130" s="2"/>
      <c r="Z130" s="12">
        <v>217</v>
      </c>
      <c r="AA130" s="2">
        <f>AA129+Tabla32037[[#This Row],[Incremento]]</f>
        <v>307647.06790501636</v>
      </c>
      <c r="AB130" s="2">
        <v>1624</v>
      </c>
      <c r="AC130" s="2"/>
      <c r="AD130" s="12">
        <v>217</v>
      </c>
      <c r="AE130" s="2">
        <f>AE129+Tabla32037[[#This Row],[Incremento]]</f>
        <v>425286.13581003266</v>
      </c>
      <c r="AF130" s="2">
        <v>1624</v>
      </c>
      <c r="AH130" s="12">
        <v>217</v>
      </c>
      <c r="AI130" s="2">
        <f>AI129+Tabla32037[[#This Row],[Incremento]]</f>
        <v>425286.13581003266</v>
      </c>
      <c r="AJ130" s="2">
        <v>1624</v>
      </c>
      <c r="AM130" s="34">
        <v>217</v>
      </c>
      <c r="AN130" s="32">
        <f>AN129+Tabla32037[[#This Row],[Incremento]]</f>
        <v>519397.39013404562</v>
      </c>
      <c r="AO130" s="32">
        <v>1624</v>
      </c>
      <c r="AQ130" s="12">
        <v>217</v>
      </c>
      <c r="AR130" s="2">
        <f>AR129+Tabla32037[[#This Row],[Incremento]]</f>
        <v>413522.22901953099</v>
      </c>
      <c r="AS130" s="2">
        <v>1624</v>
      </c>
      <c r="AU130" s="12">
        <v>217</v>
      </c>
      <c r="AV130" s="2">
        <f>AV129+Tabla32037[[#This Row],[Incremento]]</f>
        <v>604293.60438719997</v>
      </c>
      <c r="AW130" s="2">
        <v>1624</v>
      </c>
      <c r="AX130" s="2"/>
      <c r="AY130" s="12">
        <v>217</v>
      </c>
      <c r="AZ130" s="2">
        <f>AZ129+Tabla32037[[#This Row],[Incremento]]</f>
        <v>1798316.9533449123</v>
      </c>
      <c r="BA130" s="2">
        <v>1624</v>
      </c>
      <c r="BC130" s="12">
        <v>217</v>
      </c>
      <c r="BD130" s="2">
        <f>BD129+Tabla32037[[#This Row],[Incremento]]</f>
        <v>328103.20146240003</v>
      </c>
      <c r="BE130" s="2">
        <v>1624</v>
      </c>
    </row>
    <row r="131" spans="3:57" ht="17" customHeight="1" x14ac:dyDescent="0.2">
      <c r="C131" s="2"/>
      <c r="D131" s="2"/>
      <c r="F131" s="12">
        <v>218</v>
      </c>
      <c r="G131" s="2">
        <f>G130+Tabla32037[[#This Row],[Incremento]]</f>
        <v>434307.8228125</v>
      </c>
      <c r="H131" s="2">
        <v>1624</v>
      </c>
      <c r="J131" s="12">
        <v>218</v>
      </c>
      <c r="K131" s="2">
        <f>K130+Tabla32037[[#This Row],[Incremento]]</f>
        <v>434307.8228125</v>
      </c>
      <c r="L131" s="2">
        <v>1624</v>
      </c>
      <c r="N131" s="12">
        <v>218</v>
      </c>
      <c r="O131" s="2">
        <f>O130+Tabla32037[[#This Row],[Incremento]]</f>
        <v>348503.72655000002</v>
      </c>
      <c r="P131" s="2">
        <v>1624</v>
      </c>
      <c r="R131" s="12">
        <v>218</v>
      </c>
      <c r="S131" s="2">
        <f>S130+Tabla32037[[#This Row],[Incremento]]</f>
        <v>252407.3125</v>
      </c>
      <c r="T131" s="2">
        <v>1624</v>
      </c>
      <c r="V131" s="12">
        <v>218</v>
      </c>
      <c r="W131" s="2">
        <f>W130+Tabla32037[[#This Row],[Incremento]]</f>
        <v>780102.61494397931</v>
      </c>
      <c r="X131" s="2">
        <v>1624</v>
      </c>
      <c r="Y131" s="2"/>
      <c r="Z131" s="12">
        <v>218</v>
      </c>
      <c r="AA131" s="2">
        <f>AA130+Tabla32037[[#This Row],[Incremento]]</f>
        <v>309271.06790501636</v>
      </c>
      <c r="AB131" s="2">
        <v>1624</v>
      </c>
      <c r="AC131" s="2"/>
      <c r="AD131" s="12">
        <v>218</v>
      </c>
      <c r="AE131" s="2">
        <f>AE130+Tabla32037[[#This Row],[Incremento]]</f>
        <v>426910.13581003266</v>
      </c>
      <c r="AF131" s="2">
        <v>1624</v>
      </c>
      <c r="AH131" s="12">
        <v>218</v>
      </c>
      <c r="AI131" s="2">
        <f>AI130+Tabla32037[[#This Row],[Incremento]]</f>
        <v>426910.13581003266</v>
      </c>
      <c r="AJ131" s="2">
        <v>1624</v>
      </c>
      <c r="AM131" s="35">
        <v>218</v>
      </c>
      <c r="AN131" s="10">
        <f>AN130+Tabla32037[[#This Row],[Incremento]]</f>
        <v>521021.39013404562</v>
      </c>
      <c r="AO131" s="10">
        <v>1624</v>
      </c>
      <c r="AQ131" s="12">
        <v>218</v>
      </c>
      <c r="AR131" s="2">
        <f>AR130+Tabla32037[[#This Row],[Incremento]]</f>
        <v>415146.22901953099</v>
      </c>
      <c r="AS131" s="2">
        <v>1624</v>
      </c>
      <c r="AU131" s="12">
        <v>218</v>
      </c>
      <c r="AV131" s="2">
        <f>AV130+Tabla32037[[#This Row],[Incremento]]</f>
        <v>605917.60438719997</v>
      </c>
      <c r="AW131" s="2">
        <v>1624</v>
      </c>
      <c r="AX131" s="2"/>
      <c r="AY131" s="12">
        <v>218</v>
      </c>
      <c r="AZ131" s="2">
        <f>AZ130+Tabla32037[[#This Row],[Incremento]]</f>
        <v>1799940.9533449123</v>
      </c>
      <c r="BA131" s="2">
        <v>1624</v>
      </c>
      <c r="BC131" s="12">
        <v>218</v>
      </c>
      <c r="BD131" s="2">
        <f>BD130+Tabla32037[[#This Row],[Incremento]]</f>
        <v>329727.20146240003</v>
      </c>
      <c r="BE131" s="2">
        <v>1624</v>
      </c>
    </row>
    <row r="132" spans="3:57" ht="17" customHeight="1" x14ac:dyDescent="0.2">
      <c r="C132" s="2"/>
      <c r="D132" s="2"/>
      <c r="F132" s="12">
        <v>219</v>
      </c>
      <c r="G132" s="2">
        <f>G131+Tabla32037[[#This Row],[Incremento]]</f>
        <v>435931.8228125</v>
      </c>
      <c r="H132" s="2">
        <v>1624</v>
      </c>
      <c r="J132" s="12">
        <v>219</v>
      </c>
      <c r="K132" s="2">
        <f>K131+Tabla32037[[#This Row],[Incremento]]</f>
        <v>435931.8228125</v>
      </c>
      <c r="L132" s="2">
        <v>1624</v>
      </c>
      <c r="N132" s="12">
        <v>219</v>
      </c>
      <c r="O132" s="2">
        <f>O131+Tabla32037[[#This Row],[Incremento]]</f>
        <v>350127.72655000002</v>
      </c>
      <c r="P132" s="2">
        <v>1624</v>
      </c>
      <c r="R132" s="12">
        <v>219</v>
      </c>
      <c r="S132" s="2">
        <f>S131+Tabla32037[[#This Row],[Incremento]]</f>
        <v>254031.3125</v>
      </c>
      <c r="T132" s="2">
        <v>1624</v>
      </c>
      <c r="V132" s="12">
        <v>219</v>
      </c>
      <c r="W132" s="2">
        <f>W131+Tabla32037[[#This Row],[Incremento]]</f>
        <v>781726.61494397931</v>
      </c>
      <c r="X132" s="2">
        <v>1624</v>
      </c>
      <c r="Y132" s="2"/>
      <c r="Z132" s="12">
        <v>219</v>
      </c>
      <c r="AA132" s="2">
        <f>AA131+Tabla32037[[#This Row],[Incremento]]</f>
        <v>310895.06790501636</v>
      </c>
      <c r="AB132" s="2">
        <v>1624</v>
      </c>
      <c r="AC132" s="2"/>
      <c r="AD132" s="12">
        <v>219</v>
      </c>
      <c r="AE132" s="2">
        <f>AE131+Tabla32037[[#This Row],[Incremento]]</f>
        <v>428534.13581003266</v>
      </c>
      <c r="AF132" s="2">
        <v>1624</v>
      </c>
      <c r="AH132" s="12">
        <v>219</v>
      </c>
      <c r="AI132" s="2">
        <f>AI131+Tabla32037[[#This Row],[Incremento]]</f>
        <v>428534.13581003266</v>
      </c>
      <c r="AJ132" s="2">
        <v>1624</v>
      </c>
      <c r="AM132" s="34">
        <v>219</v>
      </c>
      <c r="AN132" s="32">
        <f>AN131+Tabla32037[[#This Row],[Incremento]]</f>
        <v>522645.39013404562</v>
      </c>
      <c r="AO132" s="32">
        <v>1624</v>
      </c>
      <c r="AQ132" s="12">
        <v>219</v>
      </c>
      <c r="AR132" s="2">
        <f>AR131+Tabla32037[[#This Row],[Incremento]]</f>
        <v>416770.22901953099</v>
      </c>
      <c r="AS132" s="2">
        <v>1624</v>
      </c>
      <c r="AU132" s="12">
        <v>219</v>
      </c>
      <c r="AV132" s="2">
        <f>AV131+Tabla32037[[#This Row],[Incremento]]</f>
        <v>607541.60438719997</v>
      </c>
      <c r="AW132" s="2">
        <v>1624</v>
      </c>
      <c r="AX132" s="2"/>
      <c r="AY132" s="12">
        <v>219</v>
      </c>
      <c r="AZ132" s="2">
        <f>AZ131+Tabla32037[[#This Row],[Incremento]]</f>
        <v>1801564.9533449123</v>
      </c>
      <c r="BA132" s="2">
        <v>1624</v>
      </c>
      <c r="BC132" s="12">
        <v>219</v>
      </c>
      <c r="BD132" s="2">
        <f>BD131+Tabla32037[[#This Row],[Incremento]]</f>
        <v>331351.20146240003</v>
      </c>
      <c r="BE132" s="2">
        <v>1624</v>
      </c>
    </row>
    <row r="133" spans="3:57" ht="17" customHeight="1" x14ac:dyDescent="0.2">
      <c r="C133" s="2"/>
      <c r="D133" s="2"/>
      <c r="F133" s="12">
        <v>220</v>
      </c>
      <c r="G133" s="2">
        <f>G132+Tabla32037[[#This Row],[Incremento]]</f>
        <v>437555.8228125</v>
      </c>
      <c r="H133" s="2">
        <v>1624</v>
      </c>
      <c r="J133" s="12">
        <v>220</v>
      </c>
      <c r="K133" s="2">
        <f>K132+Tabla32037[[#This Row],[Incremento]]</f>
        <v>437555.8228125</v>
      </c>
      <c r="L133" s="2">
        <v>1624</v>
      </c>
      <c r="N133" s="12">
        <v>220</v>
      </c>
      <c r="O133" s="2">
        <f>O132+Tabla32037[[#This Row],[Incremento]]</f>
        <v>351751.72655000002</v>
      </c>
      <c r="P133" s="2">
        <v>1624</v>
      </c>
      <c r="R133" s="12">
        <v>220</v>
      </c>
      <c r="S133" s="2">
        <f>S132+Tabla32037[[#This Row],[Incremento]]</f>
        <v>255655.3125</v>
      </c>
      <c r="T133" s="2">
        <v>1624</v>
      </c>
      <c r="V133" s="12">
        <v>220</v>
      </c>
      <c r="W133" s="2">
        <f>W132+Tabla32037[[#This Row],[Incremento]]</f>
        <v>783350.61494397931</v>
      </c>
      <c r="X133" s="2">
        <v>1624</v>
      </c>
      <c r="Y133" s="2"/>
      <c r="Z133" s="12">
        <v>220</v>
      </c>
      <c r="AA133" s="2">
        <f>AA132+Tabla32037[[#This Row],[Incremento]]</f>
        <v>312519.06790501636</v>
      </c>
      <c r="AB133" s="2">
        <v>1624</v>
      </c>
      <c r="AC133" s="2"/>
      <c r="AD133" s="12">
        <v>220</v>
      </c>
      <c r="AE133" s="2">
        <f>AE132+Tabla32037[[#This Row],[Incremento]]</f>
        <v>430158.13581003266</v>
      </c>
      <c r="AF133" s="2">
        <v>1624</v>
      </c>
      <c r="AH133" s="12">
        <v>220</v>
      </c>
      <c r="AI133" s="2">
        <f>AI132+Tabla32037[[#This Row],[Incremento]]</f>
        <v>430158.13581003266</v>
      </c>
      <c r="AJ133" s="2">
        <v>1624</v>
      </c>
      <c r="AM133" s="35">
        <v>220</v>
      </c>
      <c r="AN133" s="10">
        <f>AN132+Tabla32037[[#This Row],[Incremento]]</f>
        <v>524269.39013404562</v>
      </c>
      <c r="AO133" s="10">
        <v>1624</v>
      </c>
      <c r="AQ133" s="12">
        <v>220</v>
      </c>
      <c r="AR133" s="2">
        <f>AR132+Tabla32037[[#This Row],[Incremento]]</f>
        <v>418394.22901953099</v>
      </c>
      <c r="AS133" s="2">
        <v>1624</v>
      </c>
      <c r="AU133" s="12">
        <v>220</v>
      </c>
      <c r="AV133" s="2">
        <f>AV132+Tabla32037[[#This Row],[Incremento]]</f>
        <v>609165.60438719997</v>
      </c>
      <c r="AW133" s="2">
        <v>1624</v>
      </c>
      <c r="AX133" s="2"/>
      <c r="AY133" s="12">
        <v>220</v>
      </c>
      <c r="AZ133" s="2">
        <f>AZ132+Tabla32037[[#This Row],[Incremento]]</f>
        <v>1803188.9533449123</v>
      </c>
      <c r="BA133" s="2">
        <v>1624</v>
      </c>
      <c r="BC133" s="12">
        <v>220</v>
      </c>
      <c r="BD133" s="2">
        <f>BD132+Tabla32037[[#This Row],[Incremento]]</f>
        <v>332975.20146240003</v>
      </c>
      <c r="BE133" s="2">
        <v>1624</v>
      </c>
    </row>
    <row r="134" spans="3:57" ht="17" customHeight="1" x14ac:dyDescent="0.2">
      <c r="C134" s="2"/>
      <c r="D134" s="2"/>
      <c r="F134" s="12">
        <v>221</v>
      </c>
      <c r="G134" s="2">
        <f>G133+Tabla32037[[#This Row],[Incremento]]</f>
        <v>439179.8228125</v>
      </c>
      <c r="H134" s="2">
        <v>1624</v>
      </c>
      <c r="J134" s="12">
        <v>221</v>
      </c>
      <c r="K134" s="2">
        <f>K133+Tabla32037[[#This Row],[Incremento]]</f>
        <v>439179.8228125</v>
      </c>
      <c r="L134" s="2">
        <v>1624</v>
      </c>
      <c r="N134" s="12">
        <v>221</v>
      </c>
      <c r="O134" s="2">
        <f>O133+Tabla32037[[#This Row],[Incremento]]</f>
        <v>353375.72655000002</v>
      </c>
      <c r="P134" s="2">
        <v>1624</v>
      </c>
      <c r="R134" s="12">
        <v>221</v>
      </c>
      <c r="S134" s="2">
        <f>S133+Tabla32037[[#This Row],[Incremento]]</f>
        <v>257279.3125</v>
      </c>
      <c r="T134" s="2">
        <v>1624</v>
      </c>
      <c r="V134" s="12">
        <v>221</v>
      </c>
      <c r="W134" s="2">
        <f>W133+Tabla32037[[#This Row],[Incremento]]</f>
        <v>784974.61494397931</v>
      </c>
      <c r="X134" s="2">
        <v>1624</v>
      </c>
      <c r="Y134" s="2"/>
      <c r="Z134" s="12">
        <v>221</v>
      </c>
      <c r="AA134" s="2">
        <f>AA133+Tabla32037[[#This Row],[Incremento]]</f>
        <v>314143.06790501636</v>
      </c>
      <c r="AB134" s="2">
        <v>1624</v>
      </c>
      <c r="AC134" s="2"/>
      <c r="AD134" s="12">
        <v>221</v>
      </c>
      <c r="AE134" s="2">
        <f>AE133+Tabla32037[[#This Row],[Incremento]]</f>
        <v>431782.13581003266</v>
      </c>
      <c r="AF134" s="2">
        <v>1624</v>
      </c>
      <c r="AH134" s="12">
        <v>221</v>
      </c>
      <c r="AI134" s="2">
        <f>AI133+Tabla32037[[#This Row],[Incremento]]</f>
        <v>431782.13581003266</v>
      </c>
      <c r="AJ134" s="2">
        <v>1624</v>
      </c>
      <c r="AM134" s="34">
        <v>221</v>
      </c>
      <c r="AN134" s="32">
        <f>AN133+Tabla32037[[#This Row],[Incremento]]</f>
        <v>525893.39013404562</v>
      </c>
      <c r="AO134" s="32">
        <v>1624</v>
      </c>
      <c r="AQ134" s="12">
        <v>221</v>
      </c>
      <c r="AR134" s="2">
        <f>AR133+Tabla32037[[#This Row],[Incremento]]</f>
        <v>420018.22901953099</v>
      </c>
      <c r="AS134" s="2">
        <v>1624</v>
      </c>
      <c r="AU134" s="12">
        <v>221</v>
      </c>
      <c r="AV134" s="2">
        <f>AV133+Tabla32037[[#This Row],[Incremento]]</f>
        <v>610789.60438719997</v>
      </c>
      <c r="AW134" s="2">
        <v>1624</v>
      </c>
      <c r="AX134" s="2"/>
      <c r="AY134" s="12">
        <v>221</v>
      </c>
      <c r="AZ134" s="2">
        <f>AZ133+Tabla32037[[#This Row],[Incremento]]</f>
        <v>1804812.9533449123</v>
      </c>
      <c r="BA134" s="2">
        <v>1624</v>
      </c>
      <c r="BC134" s="12">
        <v>221</v>
      </c>
      <c r="BD134" s="2">
        <f>BD133+Tabla32037[[#This Row],[Incremento]]</f>
        <v>334599.20146240003</v>
      </c>
      <c r="BE134" s="2">
        <v>1624</v>
      </c>
    </row>
    <row r="135" spans="3:57" ht="17" customHeight="1" x14ac:dyDescent="0.2">
      <c r="C135" s="2"/>
      <c r="D135" s="2"/>
      <c r="F135" s="12">
        <v>222</v>
      </c>
      <c r="G135" s="2">
        <f>G134+Tabla32037[[#This Row],[Incremento]]</f>
        <v>440803.8228125</v>
      </c>
      <c r="H135" s="2">
        <v>1624</v>
      </c>
      <c r="J135" s="12">
        <v>222</v>
      </c>
      <c r="K135" s="2">
        <f>K134+Tabla32037[[#This Row],[Incremento]]</f>
        <v>440803.8228125</v>
      </c>
      <c r="L135" s="2">
        <v>1624</v>
      </c>
      <c r="N135" s="12">
        <v>222</v>
      </c>
      <c r="O135" s="2">
        <f>O134+Tabla32037[[#This Row],[Incremento]]</f>
        <v>354999.72655000002</v>
      </c>
      <c r="P135" s="2">
        <v>1624</v>
      </c>
      <c r="R135" s="12">
        <v>222</v>
      </c>
      <c r="S135" s="2">
        <f>S134+Tabla32037[[#This Row],[Incremento]]</f>
        <v>258903.3125</v>
      </c>
      <c r="T135" s="2">
        <v>1624</v>
      </c>
      <c r="V135" s="12">
        <v>222</v>
      </c>
      <c r="W135" s="2">
        <f>W134+Tabla32037[[#This Row],[Incremento]]</f>
        <v>786598.61494397931</v>
      </c>
      <c r="X135" s="2">
        <v>1624</v>
      </c>
      <c r="Y135" s="2"/>
      <c r="Z135" s="12">
        <v>222</v>
      </c>
      <c r="AA135" s="2">
        <f>AA134+Tabla32037[[#This Row],[Incremento]]</f>
        <v>315767.06790501636</v>
      </c>
      <c r="AB135" s="2">
        <v>1624</v>
      </c>
      <c r="AC135" s="2"/>
      <c r="AD135" s="12">
        <v>222</v>
      </c>
      <c r="AE135" s="2">
        <f>AE134+Tabla32037[[#This Row],[Incremento]]</f>
        <v>433406.13581003266</v>
      </c>
      <c r="AF135" s="2">
        <v>1624</v>
      </c>
      <c r="AH135" s="12">
        <v>222</v>
      </c>
      <c r="AI135" s="2">
        <f>AI134+Tabla32037[[#This Row],[Incremento]]</f>
        <v>433406.13581003266</v>
      </c>
      <c r="AJ135" s="2">
        <v>1624</v>
      </c>
      <c r="AM135" s="35">
        <v>222</v>
      </c>
      <c r="AN135" s="10">
        <f>AN134+Tabla32037[[#This Row],[Incremento]]</f>
        <v>527517.39013404562</v>
      </c>
      <c r="AO135" s="10">
        <v>1624</v>
      </c>
      <c r="AQ135" s="12">
        <v>222</v>
      </c>
      <c r="AR135" s="2">
        <f>AR134+Tabla32037[[#This Row],[Incremento]]</f>
        <v>421642.22901953099</v>
      </c>
      <c r="AS135" s="2">
        <v>1624</v>
      </c>
      <c r="AU135" s="12">
        <v>222</v>
      </c>
      <c r="AV135" s="2">
        <f>AV134+Tabla32037[[#This Row],[Incremento]]</f>
        <v>612413.60438719997</v>
      </c>
      <c r="AW135" s="2">
        <v>1624</v>
      </c>
      <c r="AX135" s="2"/>
      <c r="AY135" s="12">
        <v>222</v>
      </c>
      <c r="AZ135" s="2">
        <f>AZ134+Tabla32037[[#This Row],[Incremento]]</f>
        <v>1806436.9533449123</v>
      </c>
      <c r="BA135" s="2">
        <v>1624</v>
      </c>
      <c r="BC135" s="12">
        <v>222</v>
      </c>
      <c r="BD135" s="2">
        <f>BD134+Tabla32037[[#This Row],[Incremento]]</f>
        <v>336223.20146240003</v>
      </c>
      <c r="BE135" s="2">
        <v>1624</v>
      </c>
    </row>
    <row r="136" spans="3:57" ht="17" customHeight="1" x14ac:dyDescent="0.2">
      <c r="C136" s="2"/>
      <c r="D136" s="2"/>
      <c r="F136" s="12">
        <v>223</v>
      </c>
      <c r="G136" s="2">
        <f>G135+Tabla32037[[#This Row],[Incremento]]</f>
        <v>442427.8228125</v>
      </c>
      <c r="H136" s="2">
        <v>1624</v>
      </c>
      <c r="J136" s="12">
        <v>223</v>
      </c>
      <c r="K136" s="2">
        <f>K135+Tabla32037[[#This Row],[Incremento]]</f>
        <v>442427.8228125</v>
      </c>
      <c r="L136" s="2">
        <v>1624</v>
      </c>
      <c r="N136" s="12">
        <v>223</v>
      </c>
      <c r="O136" s="2">
        <f>O135+Tabla32037[[#This Row],[Incremento]]</f>
        <v>356623.72655000002</v>
      </c>
      <c r="P136" s="2">
        <v>1624</v>
      </c>
      <c r="R136" s="12">
        <v>223</v>
      </c>
      <c r="S136" s="2">
        <f>S135+Tabla32037[[#This Row],[Incremento]]</f>
        <v>260527.3125</v>
      </c>
      <c r="T136" s="2">
        <v>1624</v>
      </c>
      <c r="V136" s="12">
        <v>223</v>
      </c>
      <c r="W136" s="2">
        <f>W135+Tabla32037[[#This Row],[Incremento]]</f>
        <v>788222.61494397931</v>
      </c>
      <c r="X136" s="2">
        <v>1624</v>
      </c>
      <c r="Y136" s="2"/>
      <c r="Z136" s="12">
        <v>223</v>
      </c>
      <c r="AA136" s="2">
        <f>AA135+Tabla32037[[#This Row],[Incremento]]</f>
        <v>317391.06790501636</v>
      </c>
      <c r="AB136" s="2">
        <v>1624</v>
      </c>
      <c r="AC136" s="2"/>
      <c r="AD136" s="12">
        <v>223</v>
      </c>
      <c r="AE136" s="2">
        <f>AE135+Tabla32037[[#This Row],[Incremento]]</f>
        <v>435030.13581003266</v>
      </c>
      <c r="AF136" s="2">
        <v>1624</v>
      </c>
      <c r="AH136" s="12">
        <v>223</v>
      </c>
      <c r="AI136" s="2">
        <f>AI135+Tabla32037[[#This Row],[Incremento]]</f>
        <v>435030.13581003266</v>
      </c>
      <c r="AJ136" s="2">
        <v>1624</v>
      </c>
      <c r="AM136" s="34">
        <v>223</v>
      </c>
      <c r="AN136" s="32">
        <f>AN135+Tabla32037[[#This Row],[Incremento]]</f>
        <v>529141.39013404562</v>
      </c>
      <c r="AO136" s="32">
        <v>1624</v>
      </c>
      <c r="AQ136" s="12">
        <v>223</v>
      </c>
      <c r="AR136" s="2">
        <f>AR135+Tabla32037[[#This Row],[Incremento]]</f>
        <v>423266.22901953099</v>
      </c>
      <c r="AS136" s="2">
        <v>1624</v>
      </c>
      <c r="AU136" s="12">
        <v>223</v>
      </c>
      <c r="AV136" s="2">
        <f>AV135+Tabla32037[[#This Row],[Incremento]]</f>
        <v>614037.60438719997</v>
      </c>
      <c r="AW136" s="2">
        <v>1624</v>
      </c>
      <c r="AX136" s="2"/>
      <c r="AY136" s="12">
        <v>223</v>
      </c>
      <c r="AZ136" s="2">
        <f>AZ135+Tabla32037[[#This Row],[Incremento]]</f>
        <v>1808060.9533449123</v>
      </c>
      <c r="BA136" s="2">
        <v>1624</v>
      </c>
      <c r="BC136" s="12">
        <v>223</v>
      </c>
      <c r="BD136" s="2">
        <f>BD135+Tabla32037[[#This Row],[Incremento]]</f>
        <v>337847.20146240003</v>
      </c>
      <c r="BE136" s="2">
        <v>1624</v>
      </c>
    </row>
    <row r="137" spans="3:57" ht="17" customHeight="1" x14ac:dyDescent="0.2">
      <c r="C137" s="2"/>
      <c r="D137" s="2"/>
      <c r="F137" s="12">
        <v>224</v>
      </c>
      <c r="G137" s="2">
        <f>G136+Tabla32037[[#This Row],[Incremento]]</f>
        <v>444051.8228125</v>
      </c>
      <c r="H137" s="2">
        <v>1624</v>
      </c>
      <c r="J137" s="12">
        <v>224</v>
      </c>
      <c r="K137" s="2">
        <f>K136+Tabla32037[[#This Row],[Incremento]]</f>
        <v>444051.8228125</v>
      </c>
      <c r="L137" s="2">
        <v>1624</v>
      </c>
      <c r="N137" s="12">
        <v>224</v>
      </c>
      <c r="O137" s="2">
        <f>O136+Tabla32037[[#This Row],[Incremento]]</f>
        <v>358247.72655000002</v>
      </c>
      <c r="P137" s="2">
        <v>1624</v>
      </c>
      <c r="R137" s="12">
        <v>224</v>
      </c>
      <c r="S137" s="2">
        <f>S136+Tabla32037[[#This Row],[Incremento]]</f>
        <v>262151.3125</v>
      </c>
      <c r="T137" s="2">
        <v>1624</v>
      </c>
      <c r="V137" s="12">
        <v>224</v>
      </c>
      <c r="W137" s="2">
        <f>W136+Tabla32037[[#This Row],[Incremento]]</f>
        <v>789846.61494397931</v>
      </c>
      <c r="X137" s="2">
        <v>1624</v>
      </c>
      <c r="Y137" s="2"/>
      <c r="Z137" s="12">
        <v>224</v>
      </c>
      <c r="AA137" s="2">
        <f>AA136+Tabla32037[[#This Row],[Incremento]]</f>
        <v>319015.06790501636</v>
      </c>
      <c r="AB137" s="2">
        <v>1624</v>
      </c>
      <c r="AC137" s="2"/>
      <c r="AD137" s="12">
        <v>224</v>
      </c>
      <c r="AE137" s="2">
        <f>AE136+Tabla32037[[#This Row],[Incremento]]</f>
        <v>436654.13581003266</v>
      </c>
      <c r="AF137" s="2">
        <v>1624</v>
      </c>
      <c r="AH137" s="12">
        <v>224</v>
      </c>
      <c r="AI137" s="2">
        <f>AI136+Tabla32037[[#This Row],[Incremento]]</f>
        <v>436654.13581003266</v>
      </c>
      <c r="AJ137" s="2">
        <v>1624</v>
      </c>
      <c r="AM137" s="35">
        <v>224</v>
      </c>
      <c r="AN137" s="10">
        <f>AN136+Tabla32037[[#This Row],[Incremento]]</f>
        <v>530765.39013404562</v>
      </c>
      <c r="AO137" s="10">
        <v>1624</v>
      </c>
      <c r="AQ137" s="12">
        <v>224</v>
      </c>
      <c r="AR137" s="2">
        <f>AR136+Tabla32037[[#This Row],[Incremento]]</f>
        <v>424890.22901953099</v>
      </c>
      <c r="AS137" s="2">
        <v>1624</v>
      </c>
      <c r="AU137" s="12">
        <v>224</v>
      </c>
      <c r="AV137" s="2">
        <f>AV136+Tabla32037[[#This Row],[Incremento]]</f>
        <v>615661.60438719997</v>
      </c>
      <c r="AW137" s="2">
        <v>1624</v>
      </c>
      <c r="AX137" s="2"/>
      <c r="AY137" s="12">
        <v>224</v>
      </c>
      <c r="AZ137" s="2">
        <f>AZ136+Tabla32037[[#This Row],[Incremento]]</f>
        <v>1809684.9533449123</v>
      </c>
      <c r="BA137" s="2">
        <v>1624</v>
      </c>
      <c r="BC137" s="12">
        <v>224</v>
      </c>
      <c r="BD137" s="2">
        <f>BD136+Tabla32037[[#This Row],[Incremento]]</f>
        <v>339471.20146240003</v>
      </c>
      <c r="BE137" s="2">
        <v>1624</v>
      </c>
    </row>
    <row r="138" spans="3:57" ht="17" customHeight="1" x14ac:dyDescent="0.2">
      <c r="C138" s="2"/>
      <c r="D138" s="2"/>
      <c r="F138" s="12">
        <v>225</v>
      </c>
      <c r="G138" s="2">
        <f>G137+Tabla32037[[#This Row],[Incremento]]</f>
        <v>445675.8228125</v>
      </c>
      <c r="H138" s="2">
        <v>1624</v>
      </c>
      <c r="J138" s="12">
        <v>225</v>
      </c>
      <c r="K138" s="2">
        <f>K137+Tabla32037[[#This Row],[Incremento]]</f>
        <v>445675.8228125</v>
      </c>
      <c r="L138" s="2">
        <v>1624</v>
      </c>
      <c r="N138" s="12">
        <v>225</v>
      </c>
      <c r="O138" s="2">
        <f>O137+Tabla32037[[#This Row],[Incremento]]</f>
        <v>359871.72655000002</v>
      </c>
      <c r="P138" s="2">
        <v>1624</v>
      </c>
      <c r="R138" s="12">
        <v>225</v>
      </c>
      <c r="S138" s="2">
        <f>S137+Tabla32037[[#This Row],[Incremento]]</f>
        <v>263775.3125</v>
      </c>
      <c r="T138" s="2">
        <v>1624</v>
      </c>
      <c r="V138" s="12">
        <v>225</v>
      </c>
      <c r="W138" s="2">
        <f>W137+Tabla32037[[#This Row],[Incremento]]</f>
        <v>791470.61494397931</v>
      </c>
      <c r="X138" s="2">
        <v>1624</v>
      </c>
      <c r="Y138" s="2"/>
      <c r="Z138" s="12">
        <v>225</v>
      </c>
      <c r="AA138" s="2">
        <f>AA137+Tabla32037[[#This Row],[Incremento]]</f>
        <v>320639.06790501636</v>
      </c>
      <c r="AB138" s="2">
        <v>1624</v>
      </c>
      <c r="AC138" s="2"/>
      <c r="AD138" s="12">
        <v>225</v>
      </c>
      <c r="AE138" s="2">
        <f>AE137+Tabla32037[[#This Row],[Incremento]]</f>
        <v>438278.13581003266</v>
      </c>
      <c r="AF138" s="2">
        <v>1624</v>
      </c>
      <c r="AH138" s="12">
        <v>225</v>
      </c>
      <c r="AI138" s="2">
        <f>AI137+Tabla32037[[#This Row],[Incremento]]</f>
        <v>438278.13581003266</v>
      </c>
      <c r="AJ138" s="2">
        <v>1624</v>
      </c>
      <c r="AM138" s="34">
        <v>225</v>
      </c>
      <c r="AN138" s="32">
        <f>AN137+Tabla32037[[#This Row],[Incremento]]</f>
        <v>532389.39013404562</v>
      </c>
      <c r="AO138" s="32">
        <v>1624</v>
      </c>
      <c r="AQ138" s="12">
        <v>225</v>
      </c>
      <c r="AR138" s="2">
        <f>AR137+Tabla32037[[#This Row],[Incremento]]</f>
        <v>426514.22901953099</v>
      </c>
      <c r="AS138" s="2">
        <v>1624</v>
      </c>
      <c r="AU138" s="12">
        <v>225</v>
      </c>
      <c r="AV138" s="2">
        <f>AV137+Tabla32037[[#This Row],[Incremento]]</f>
        <v>617285.60438719997</v>
      </c>
      <c r="AW138" s="2">
        <v>1624</v>
      </c>
      <c r="AX138" s="2"/>
      <c r="AY138" s="12">
        <v>225</v>
      </c>
      <c r="AZ138" s="2">
        <f>AZ137+Tabla32037[[#This Row],[Incremento]]</f>
        <v>1811308.9533449123</v>
      </c>
      <c r="BA138" s="2">
        <v>1624</v>
      </c>
      <c r="BC138" s="12">
        <v>225</v>
      </c>
      <c r="BD138" s="2">
        <f>BD137+Tabla32037[[#This Row],[Incremento]]</f>
        <v>341095.20146240003</v>
      </c>
      <c r="BE138" s="2">
        <v>1624</v>
      </c>
    </row>
    <row r="139" spans="3:57" ht="17" customHeight="1" x14ac:dyDescent="0.2">
      <c r="C139" s="2"/>
      <c r="D139" s="2"/>
      <c r="F139" s="12">
        <v>226</v>
      </c>
      <c r="G139" s="2">
        <f>G138+Tabla32037[[#This Row],[Incremento]]</f>
        <v>447299.8228125</v>
      </c>
      <c r="H139" s="2">
        <v>1624</v>
      </c>
      <c r="J139" s="12">
        <v>226</v>
      </c>
      <c r="K139" s="2">
        <f>K138+Tabla32037[[#This Row],[Incremento]]</f>
        <v>447299.8228125</v>
      </c>
      <c r="L139" s="2">
        <v>1624</v>
      </c>
      <c r="N139" s="12">
        <v>226</v>
      </c>
      <c r="O139" s="2">
        <f>O138+Tabla32037[[#This Row],[Incremento]]</f>
        <v>361495.72655000002</v>
      </c>
      <c r="P139" s="2">
        <v>1624</v>
      </c>
      <c r="R139" s="12">
        <v>226</v>
      </c>
      <c r="S139" s="2">
        <f>S138+Tabla32037[[#This Row],[Incremento]]</f>
        <v>265399.3125</v>
      </c>
      <c r="T139" s="2">
        <v>1624</v>
      </c>
      <c r="V139" s="12">
        <v>226</v>
      </c>
      <c r="W139" s="2">
        <f>W138+Tabla32037[[#This Row],[Incremento]]</f>
        <v>793094.61494397931</v>
      </c>
      <c r="X139" s="2">
        <v>1624</v>
      </c>
      <c r="Y139" s="2"/>
      <c r="Z139" s="12">
        <v>226</v>
      </c>
      <c r="AA139" s="2">
        <f>AA138+Tabla32037[[#This Row],[Incremento]]</f>
        <v>322263.06790501636</v>
      </c>
      <c r="AB139" s="2">
        <v>1624</v>
      </c>
      <c r="AC139" s="2"/>
      <c r="AD139" s="12">
        <v>226</v>
      </c>
      <c r="AE139" s="2">
        <f>AE138+Tabla32037[[#This Row],[Incremento]]</f>
        <v>439902.13581003266</v>
      </c>
      <c r="AF139" s="2">
        <v>1624</v>
      </c>
      <c r="AH139" s="12">
        <v>226</v>
      </c>
      <c r="AI139" s="2">
        <f>AI138+Tabla32037[[#This Row],[Incremento]]</f>
        <v>439902.13581003266</v>
      </c>
      <c r="AJ139" s="2">
        <v>1624</v>
      </c>
      <c r="AM139" s="35">
        <v>226</v>
      </c>
      <c r="AN139" s="10">
        <f>AN138+Tabla32037[[#This Row],[Incremento]]</f>
        <v>534013.39013404562</v>
      </c>
      <c r="AO139" s="10">
        <v>1624</v>
      </c>
      <c r="AQ139" s="12">
        <v>226</v>
      </c>
      <c r="AR139" s="2">
        <f>AR138+Tabla32037[[#This Row],[Incremento]]</f>
        <v>428138.22901953099</v>
      </c>
      <c r="AS139" s="2">
        <v>1624</v>
      </c>
      <c r="AU139" s="12">
        <v>226</v>
      </c>
      <c r="AV139" s="2">
        <f>AV138+Tabla32037[[#This Row],[Incremento]]</f>
        <v>618909.60438719997</v>
      </c>
      <c r="AW139" s="2">
        <v>1624</v>
      </c>
      <c r="AX139" s="2"/>
      <c r="AY139" s="12">
        <v>226</v>
      </c>
      <c r="AZ139" s="2">
        <f>AZ138+Tabla32037[[#This Row],[Incremento]]</f>
        <v>1812932.9533449123</v>
      </c>
      <c r="BA139" s="2">
        <v>1624</v>
      </c>
      <c r="BC139" s="12">
        <v>226</v>
      </c>
      <c r="BD139" s="2">
        <f>BD138+Tabla32037[[#This Row],[Incremento]]</f>
        <v>342719.20146240003</v>
      </c>
      <c r="BE139" s="2">
        <v>1624</v>
      </c>
    </row>
    <row r="140" spans="3:57" ht="17" customHeight="1" x14ac:dyDescent="0.2">
      <c r="C140" s="2"/>
      <c r="D140" s="2"/>
      <c r="F140" s="12">
        <v>227</v>
      </c>
      <c r="G140" s="2">
        <f>G139+Tabla32037[[#This Row],[Incremento]]</f>
        <v>448923.8228125</v>
      </c>
      <c r="H140" s="2">
        <v>1624</v>
      </c>
      <c r="J140" s="12">
        <v>227</v>
      </c>
      <c r="K140" s="2">
        <f>K139+Tabla32037[[#This Row],[Incremento]]</f>
        <v>448923.8228125</v>
      </c>
      <c r="L140" s="2">
        <v>1624</v>
      </c>
      <c r="N140" s="12">
        <v>227</v>
      </c>
      <c r="O140" s="2">
        <f>O139+Tabla32037[[#This Row],[Incremento]]</f>
        <v>363119.72655000002</v>
      </c>
      <c r="P140" s="2">
        <v>1624</v>
      </c>
      <c r="R140" s="12">
        <v>227</v>
      </c>
      <c r="S140" s="2">
        <f>S139+Tabla32037[[#This Row],[Incremento]]</f>
        <v>267023.3125</v>
      </c>
      <c r="T140" s="2">
        <v>1624</v>
      </c>
      <c r="V140" s="12">
        <v>227</v>
      </c>
      <c r="W140" s="2">
        <f>W139+Tabla32037[[#This Row],[Incremento]]</f>
        <v>794718.61494397931</v>
      </c>
      <c r="X140" s="2">
        <v>1624</v>
      </c>
      <c r="Y140" s="2"/>
      <c r="Z140" s="12">
        <v>227</v>
      </c>
      <c r="AA140" s="2">
        <f>AA139+Tabla32037[[#This Row],[Incremento]]</f>
        <v>323887.06790501636</v>
      </c>
      <c r="AB140" s="2">
        <v>1624</v>
      </c>
      <c r="AC140" s="2"/>
      <c r="AD140" s="12">
        <v>227</v>
      </c>
      <c r="AE140" s="2">
        <f>AE139+Tabla32037[[#This Row],[Incremento]]</f>
        <v>441526.13581003266</v>
      </c>
      <c r="AF140" s="2">
        <v>1624</v>
      </c>
      <c r="AH140" s="12">
        <v>227</v>
      </c>
      <c r="AI140" s="2">
        <f>AI139+Tabla32037[[#This Row],[Incremento]]</f>
        <v>441526.13581003266</v>
      </c>
      <c r="AJ140" s="2">
        <v>1624</v>
      </c>
      <c r="AM140" s="34">
        <v>227</v>
      </c>
      <c r="AN140" s="32">
        <f>AN139+Tabla32037[[#This Row],[Incremento]]</f>
        <v>535637.39013404562</v>
      </c>
      <c r="AO140" s="32">
        <v>1624</v>
      </c>
      <c r="AQ140" s="12">
        <v>227</v>
      </c>
      <c r="AR140" s="2">
        <f>AR139+Tabla32037[[#This Row],[Incremento]]</f>
        <v>429762.22901953099</v>
      </c>
      <c r="AS140" s="2">
        <v>1624</v>
      </c>
      <c r="AU140" s="12">
        <v>227</v>
      </c>
      <c r="AV140" s="2">
        <f>AV139+Tabla32037[[#This Row],[Incremento]]</f>
        <v>620533.60438719997</v>
      </c>
      <c r="AW140" s="2">
        <v>1624</v>
      </c>
      <c r="AX140" s="2"/>
      <c r="AY140" s="12">
        <v>227</v>
      </c>
      <c r="AZ140" s="2">
        <f>AZ139+Tabla32037[[#This Row],[Incremento]]</f>
        <v>1814556.9533449123</v>
      </c>
      <c r="BA140" s="2">
        <v>1624</v>
      </c>
      <c r="BC140" s="12">
        <v>227</v>
      </c>
      <c r="BD140" s="2">
        <f>BD139+Tabla32037[[#This Row],[Incremento]]</f>
        <v>344343.20146240003</v>
      </c>
      <c r="BE140" s="2">
        <v>1624</v>
      </c>
    </row>
    <row r="141" spans="3:57" ht="17" customHeight="1" x14ac:dyDescent="0.2">
      <c r="C141" s="2"/>
      <c r="D141" s="2"/>
      <c r="F141" s="12">
        <v>228</v>
      </c>
      <c r="G141" s="2">
        <f>G140+Tabla32037[[#This Row],[Incremento]]</f>
        <v>450547.8228125</v>
      </c>
      <c r="H141" s="2">
        <v>1624</v>
      </c>
      <c r="J141" s="12">
        <v>228</v>
      </c>
      <c r="K141" s="2">
        <f>K140+Tabla32037[[#This Row],[Incremento]]</f>
        <v>450547.8228125</v>
      </c>
      <c r="L141" s="2">
        <v>1624</v>
      </c>
      <c r="N141" s="12">
        <v>228</v>
      </c>
      <c r="O141" s="2">
        <f>O140+Tabla32037[[#This Row],[Incremento]]</f>
        <v>364743.72655000002</v>
      </c>
      <c r="P141" s="2">
        <v>1624</v>
      </c>
      <c r="R141" s="12">
        <v>228</v>
      </c>
      <c r="S141" s="2">
        <f>S140+Tabla32037[[#This Row],[Incremento]]</f>
        <v>268647.3125</v>
      </c>
      <c r="T141" s="2">
        <v>1624</v>
      </c>
      <c r="V141" s="12">
        <v>228</v>
      </c>
      <c r="W141" s="2">
        <f>W140+Tabla32037[[#This Row],[Incremento]]</f>
        <v>796342.61494397931</v>
      </c>
      <c r="X141" s="2">
        <v>1624</v>
      </c>
      <c r="Y141" s="2"/>
      <c r="Z141" s="12">
        <v>228</v>
      </c>
      <c r="AA141" s="2">
        <f>AA140+Tabla32037[[#This Row],[Incremento]]</f>
        <v>325511.06790501636</v>
      </c>
      <c r="AB141" s="2">
        <v>1624</v>
      </c>
      <c r="AC141" s="2"/>
      <c r="AD141" s="12">
        <v>228</v>
      </c>
      <c r="AE141" s="2">
        <f>AE140+Tabla32037[[#This Row],[Incremento]]</f>
        <v>443150.13581003266</v>
      </c>
      <c r="AF141" s="2">
        <v>1624</v>
      </c>
      <c r="AH141" s="12">
        <v>228</v>
      </c>
      <c r="AI141" s="2">
        <f>AI140+Tabla32037[[#This Row],[Incremento]]</f>
        <v>443150.13581003266</v>
      </c>
      <c r="AJ141" s="2">
        <v>1624</v>
      </c>
      <c r="AM141" s="35">
        <v>228</v>
      </c>
      <c r="AN141" s="10">
        <f>AN140+Tabla32037[[#This Row],[Incremento]]</f>
        <v>537261.39013404562</v>
      </c>
      <c r="AO141" s="10">
        <v>1624</v>
      </c>
      <c r="AQ141" s="12">
        <v>228</v>
      </c>
      <c r="AR141" s="2">
        <f>AR140+Tabla32037[[#This Row],[Incremento]]</f>
        <v>431386.22901953099</v>
      </c>
      <c r="AS141" s="2">
        <v>1624</v>
      </c>
      <c r="AU141" s="12">
        <v>228</v>
      </c>
      <c r="AV141" s="2">
        <f>AV140+Tabla32037[[#This Row],[Incremento]]</f>
        <v>622157.60438719997</v>
      </c>
      <c r="AW141" s="2">
        <v>1624</v>
      </c>
      <c r="AX141" s="2"/>
      <c r="AY141" s="12">
        <v>228</v>
      </c>
      <c r="AZ141" s="2">
        <f>AZ140+Tabla32037[[#This Row],[Incremento]]</f>
        <v>1816180.9533449123</v>
      </c>
      <c r="BA141" s="2">
        <v>1624</v>
      </c>
      <c r="BC141" s="12">
        <v>228</v>
      </c>
      <c r="BD141" s="2">
        <f>BD140+Tabla32037[[#This Row],[Incremento]]</f>
        <v>345967.20146240003</v>
      </c>
      <c r="BE141" s="2">
        <v>1624</v>
      </c>
    </row>
    <row r="142" spans="3:57" ht="17" customHeight="1" x14ac:dyDescent="0.2">
      <c r="C142" s="2"/>
      <c r="D142" s="2"/>
      <c r="F142" s="12">
        <v>229</v>
      </c>
      <c r="G142" s="2">
        <f>G141+Tabla32037[[#This Row],[Incremento]]</f>
        <v>452171.8228125</v>
      </c>
      <c r="H142" s="2">
        <v>1624</v>
      </c>
      <c r="J142" s="12">
        <v>229</v>
      </c>
      <c r="K142" s="2">
        <f>K141+Tabla32037[[#This Row],[Incremento]]</f>
        <v>452171.8228125</v>
      </c>
      <c r="L142" s="2">
        <v>1624</v>
      </c>
      <c r="N142" s="12">
        <v>229</v>
      </c>
      <c r="O142" s="2">
        <f>O141+Tabla32037[[#This Row],[Incremento]]</f>
        <v>366367.72655000002</v>
      </c>
      <c r="P142" s="2">
        <v>1624</v>
      </c>
      <c r="R142" s="12">
        <v>229</v>
      </c>
      <c r="S142" s="2">
        <f>S141+Tabla32037[[#This Row],[Incremento]]</f>
        <v>270271.3125</v>
      </c>
      <c r="T142" s="2">
        <v>1624</v>
      </c>
      <c r="V142" s="12">
        <v>229</v>
      </c>
      <c r="W142" s="2">
        <f>W141+Tabla32037[[#This Row],[Incremento]]</f>
        <v>797966.61494397931</v>
      </c>
      <c r="X142" s="2">
        <v>1624</v>
      </c>
      <c r="Y142" s="2"/>
      <c r="Z142" s="12">
        <v>229</v>
      </c>
      <c r="AA142" s="2">
        <f>AA141+Tabla32037[[#This Row],[Incremento]]</f>
        <v>327135.06790501636</v>
      </c>
      <c r="AB142" s="2">
        <v>1624</v>
      </c>
      <c r="AC142" s="2"/>
      <c r="AD142" s="12">
        <v>229</v>
      </c>
      <c r="AE142" s="2">
        <f>AE141+Tabla32037[[#This Row],[Incremento]]</f>
        <v>444774.13581003266</v>
      </c>
      <c r="AF142" s="2">
        <v>1624</v>
      </c>
      <c r="AH142" s="12">
        <v>229</v>
      </c>
      <c r="AI142" s="2">
        <f>AI141+Tabla32037[[#This Row],[Incremento]]</f>
        <v>444774.13581003266</v>
      </c>
      <c r="AJ142" s="2">
        <v>1624</v>
      </c>
      <c r="AM142" s="34">
        <v>229</v>
      </c>
      <c r="AN142" s="32">
        <f>AN141+Tabla32037[[#This Row],[Incremento]]</f>
        <v>538885.39013404562</v>
      </c>
      <c r="AO142" s="32">
        <v>1624</v>
      </c>
      <c r="AQ142" s="12">
        <v>229</v>
      </c>
      <c r="AR142" s="2">
        <f>AR141+Tabla32037[[#This Row],[Incremento]]</f>
        <v>433010.22901953099</v>
      </c>
      <c r="AS142" s="2">
        <v>1624</v>
      </c>
      <c r="AU142" s="12">
        <v>229</v>
      </c>
      <c r="AV142" s="2">
        <f>AV141+Tabla32037[[#This Row],[Incremento]]</f>
        <v>623781.60438719997</v>
      </c>
      <c r="AW142" s="2">
        <v>1624</v>
      </c>
      <c r="AX142" s="2"/>
      <c r="AY142" s="12">
        <v>229</v>
      </c>
      <c r="AZ142" s="2">
        <f>AZ141+Tabla32037[[#This Row],[Incremento]]</f>
        <v>1817804.9533449123</v>
      </c>
      <c r="BA142" s="2">
        <v>1624</v>
      </c>
      <c r="BC142" s="12">
        <v>229</v>
      </c>
      <c r="BD142" s="2">
        <f>BD141+Tabla32037[[#This Row],[Incremento]]</f>
        <v>347591.20146240003</v>
      </c>
      <c r="BE142" s="2">
        <v>1624</v>
      </c>
    </row>
    <row r="143" spans="3:57" ht="17" customHeight="1" x14ac:dyDescent="0.2">
      <c r="C143" s="2"/>
      <c r="D143" s="2"/>
      <c r="F143" s="12">
        <v>230</v>
      </c>
      <c r="G143" s="2">
        <f>G142+Tabla32037[[#This Row],[Incremento]]</f>
        <v>453795.8228125</v>
      </c>
      <c r="H143" s="2">
        <v>1624</v>
      </c>
      <c r="J143" s="12">
        <v>230</v>
      </c>
      <c r="K143" s="2">
        <f>K142+Tabla32037[[#This Row],[Incremento]]</f>
        <v>453795.8228125</v>
      </c>
      <c r="L143" s="2">
        <v>1624</v>
      </c>
      <c r="N143" s="12">
        <v>230</v>
      </c>
      <c r="O143" s="2">
        <f>O142+Tabla32037[[#This Row],[Incremento]]</f>
        <v>367991.72655000002</v>
      </c>
      <c r="P143" s="2">
        <v>1624</v>
      </c>
      <c r="R143" s="12">
        <v>230</v>
      </c>
      <c r="S143" s="2">
        <f>S142+Tabla32037[[#This Row],[Incremento]]</f>
        <v>271895.3125</v>
      </c>
      <c r="T143" s="2">
        <v>1624</v>
      </c>
      <c r="V143" s="12">
        <v>230</v>
      </c>
      <c r="W143" s="2">
        <f>W142+Tabla32037[[#This Row],[Incremento]]</f>
        <v>799590.61494397931</v>
      </c>
      <c r="X143" s="2">
        <v>1624</v>
      </c>
      <c r="Y143" s="2"/>
      <c r="Z143" s="12">
        <v>230</v>
      </c>
      <c r="AA143" s="2">
        <f>AA142+Tabla32037[[#This Row],[Incremento]]</f>
        <v>328759.06790501636</v>
      </c>
      <c r="AB143" s="2">
        <v>1624</v>
      </c>
      <c r="AC143" s="2"/>
      <c r="AD143" s="12">
        <v>230</v>
      </c>
      <c r="AE143" s="2">
        <f>AE142+Tabla32037[[#This Row],[Incremento]]</f>
        <v>446398.13581003266</v>
      </c>
      <c r="AF143" s="2">
        <v>1624</v>
      </c>
      <c r="AH143" s="12">
        <v>230</v>
      </c>
      <c r="AI143" s="2">
        <f>AI142+Tabla32037[[#This Row],[Incremento]]</f>
        <v>446398.13581003266</v>
      </c>
      <c r="AJ143" s="2">
        <v>1624</v>
      </c>
      <c r="AM143" s="35">
        <v>230</v>
      </c>
      <c r="AN143" s="10">
        <f>AN142+Tabla32037[[#This Row],[Incremento]]</f>
        <v>540509.39013404562</v>
      </c>
      <c r="AO143" s="10">
        <v>1624</v>
      </c>
      <c r="AQ143" s="12">
        <v>230</v>
      </c>
      <c r="AR143" s="2">
        <f>AR142+Tabla32037[[#This Row],[Incremento]]</f>
        <v>434634.22901953099</v>
      </c>
      <c r="AS143" s="2">
        <v>1624</v>
      </c>
      <c r="AU143" s="12">
        <v>230</v>
      </c>
      <c r="AV143" s="2">
        <f>AV142+Tabla32037[[#This Row],[Incremento]]</f>
        <v>625405.60438719997</v>
      </c>
      <c r="AW143" s="2">
        <v>1624</v>
      </c>
      <c r="AX143" s="2"/>
      <c r="AY143" s="12">
        <v>230</v>
      </c>
      <c r="AZ143" s="2">
        <f>AZ142+Tabla32037[[#This Row],[Incremento]]</f>
        <v>1819428.9533449123</v>
      </c>
      <c r="BA143" s="2">
        <v>1624</v>
      </c>
      <c r="BC143" s="12">
        <v>230</v>
      </c>
      <c r="BD143" s="2">
        <f>BD142+Tabla32037[[#This Row],[Incremento]]</f>
        <v>349215.20146240003</v>
      </c>
      <c r="BE143" s="2">
        <v>1624</v>
      </c>
    </row>
    <row r="144" spans="3:57" ht="17" customHeight="1" x14ac:dyDescent="0.2">
      <c r="C144" s="2"/>
      <c r="D144" s="2"/>
      <c r="F144" s="12">
        <v>231</v>
      </c>
      <c r="G144" s="2">
        <f>G143+Tabla32037[[#This Row],[Incremento]]</f>
        <v>455419.8228125</v>
      </c>
      <c r="H144" s="2">
        <v>1624</v>
      </c>
      <c r="J144" s="12">
        <v>231</v>
      </c>
      <c r="K144" s="2">
        <f>K143+Tabla32037[[#This Row],[Incremento]]</f>
        <v>455419.8228125</v>
      </c>
      <c r="L144" s="2">
        <v>1624</v>
      </c>
      <c r="N144" s="12">
        <v>231</v>
      </c>
      <c r="O144" s="2">
        <f>O143+Tabla32037[[#This Row],[Incremento]]</f>
        <v>369615.72655000002</v>
      </c>
      <c r="P144" s="2">
        <v>1624</v>
      </c>
      <c r="R144" s="12">
        <v>231</v>
      </c>
      <c r="S144" s="2">
        <f>S143+Tabla32037[[#This Row],[Incremento]]</f>
        <v>273519.3125</v>
      </c>
      <c r="T144" s="2">
        <v>1624</v>
      </c>
      <c r="V144" s="12">
        <v>231</v>
      </c>
      <c r="W144" s="2">
        <f>W143+Tabla32037[[#This Row],[Incremento]]</f>
        <v>801214.61494397931</v>
      </c>
      <c r="X144" s="2">
        <v>1624</v>
      </c>
      <c r="Y144" s="2"/>
      <c r="Z144" s="12">
        <v>231</v>
      </c>
      <c r="AA144" s="2">
        <f>AA143+Tabla32037[[#This Row],[Incremento]]</f>
        <v>330383.06790501636</v>
      </c>
      <c r="AB144" s="2">
        <v>1624</v>
      </c>
      <c r="AC144" s="2"/>
      <c r="AD144" s="12">
        <v>231</v>
      </c>
      <c r="AE144" s="2">
        <f>AE143+Tabla32037[[#This Row],[Incremento]]</f>
        <v>448022.13581003266</v>
      </c>
      <c r="AF144" s="2">
        <v>1624</v>
      </c>
      <c r="AH144" s="12">
        <v>231</v>
      </c>
      <c r="AI144" s="2">
        <f>AI143+Tabla32037[[#This Row],[Incremento]]</f>
        <v>448022.13581003266</v>
      </c>
      <c r="AJ144" s="2">
        <v>1624</v>
      </c>
      <c r="AM144" s="34">
        <v>231</v>
      </c>
      <c r="AN144" s="32">
        <f>AN143+Tabla32037[[#This Row],[Incremento]]</f>
        <v>542133.39013404562</v>
      </c>
      <c r="AO144" s="32">
        <v>1624</v>
      </c>
      <c r="AQ144" s="12">
        <v>231</v>
      </c>
      <c r="AR144" s="2">
        <f>AR143+Tabla32037[[#This Row],[Incremento]]</f>
        <v>436258.22901953099</v>
      </c>
      <c r="AS144" s="2">
        <v>1624</v>
      </c>
      <c r="AU144" s="12">
        <v>231</v>
      </c>
      <c r="AV144" s="2">
        <f>AV143+Tabla32037[[#This Row],[Incremento]]</f>
        <v>627029.60438719997</v>
      </c>
      <c r="AW144" s="2">
        <v>1624</v>
      </c>
      <c r="AX144" s="2"/>
      <c r="AY144" s="12">
        <v>231</v>
      </c>
      <c r="AZ144" s="2">
        <f>AZ143+Tabla32037[[#This Row],[Incremento]]</f>
        <v>1821052.9533449123</v>
      </c>
      <c r="BA144" s="2">
        <v>1624</v>
      </c>
      <c r="BC144" s="12">
        <v>231</v>
      </c>
      <c r="BD144" s="2">
        <f>BD143+Tabla32037[[#This Row],[Incremento]]</f>
        <v>350839.20146240003</v>
      </c>
      <c r="BE144" s="2">
        <v>1624</v>
      </c>
    </row>
    <row r="145" spans="3:57" ht="17" customHeight="1" x14ac:dyDescent="0.2">
      <c r="C145" s="2"/>
      <c r="D145" s="2"/>
      <c r="F145" s="12">
        <v>232</v>
      </c>
      <c r="G145" s="2">
        <f>G144+Tabla32037[[#This Row],[Incremento]]</f>
        <v>457043.8228125</v>
      </c>
      <c r="H145" s="2">
        <v>1624</v>
      </c>
      <c r="J145" s="12">
        <v>232</v>
      </c>
      <c r="K145" s="2">
        <f>K144+Tabla32037[[#This Row],[Incremento]]</f>
        <v>457043.8228125</v>
      </c>
      <c r="L145" s="2">
        <v>1624</v>
      </c>
      <c r="N145" s="12">
        <v>232</v>
      </c>
      <c r="O145" s="2">
        <f>O144+Tabla32037[[#This Row],[Incremento]]</f>
        <v>371239.72655000002</v>
      </c>
      <c r="P145" s="2">
        <v>1624</v>
      </c>
      <c r="R145" s="12">
        <v>232</v>
      </c>
      <c r="S145" s="2">
        <f>S144+Tabla32037[[#This Row],[Incremento]]</f>
        <v>275143.3125</v>
      </c>
      <c r="T145" s="2">
        <v>1624</v>
      </c>
      <c r="V145" s="12">
        <v>232</v>
      </c>
      <c r="W145" s="2">
        <f>W144+Tabla32037[[#This Row],[Incremento]]</f>
        <v>802838.61494397931</v>
      </c>
      <c r="X145" s="2">
        <v>1624</v>
      </c>
      <c r="Y145" s="2"/>
      <c r="Z145" s="12">
        <v>232</v>
      </c>
      <c r="AA145" s="2">
        <f>AA144+Tabla32037[[#This Row],[Incremento]]</f>
        <v>332007.06790501636</v>
      </c>
      <c r="AB145" s="2">
        <v>1624</v>
      </c>
      <c r="AC145" s="2"/>
      <c r="AD145" s="12">
        <v>232</v>
      </c>
      <c r="AE145" s="2">
        <f>AE144+Tabla32037[[#This Row],[Incremento]]</f>
        <v>449646.13581003266</v>
      </c>
      <c r="AF145" s="2">
        <v>1624</v>
      </c>
      <c r="AH145" s="12">
        <v>232</v>
      </c>
      <c r="AI145" s="2">
        <f>AI144+Tabla32037[[#This Row],[Incremento]]</f>
        <v>449646.13581003266</v>
      </c>
      <c r="AJ145" s="2">
        <v>1624</v>
      </c>
      <c r="AM145" s="35">
        <v>232</v>
      </c>
      <c r="AN145" s="10">
        <f>AN144+Tabla32037[[#This Row],[Incremento]]</f>
        <v>543757.39013404562</v>
      </c>
      <c r="AO145" s="10">
        <v>1624</v>
      </c>
      <c r="AQ145" s="12">
        <v>232</v>
      </c>
      <c r="AR145" s="2">
        <f>AR144+Tabla32037[[#This Row],[Incremento]]</f>
        <v>437882.22901953099</v>
      </c>
      <c r="AS145" s="2">
        <v>1624</v>
      </c>
      <c r="AU145" s="12">
        <v>232</v>
      </c>
      <c r="AV145" s="2">
        <f>AV144+Tabla32037[[#This Row],[Incremento]]</f>
        <v>628653.60438719997</v>
      </c>
      <c r="AW145" s="2">
        <v>1624</v>
      </c>
      <c r="AX145" s="2"/>
      <c r="AY145" s="12">
        <v>232</v>
      </c>
      <c r="AZ145" s="2">
        <f>AZ144+Tabla32037[[#This Row],[Incremento]]</f>
        <v>1822676.9533449123</v>
      </c>
      <c r="BA145" s="2">
        <v>1624</v>
      </c>
      <c r="BC145" s="12">
        <v>232</v>
      </c>
      <c r="BD145" s="2">
        <f>BD144+Tabla32037[[#This Row],[Incremento]]</f>
        <v>352463.20146240003</v>
      </c>
      <c r="BE145" s="2">
        <v>1624</v>
      </c>
    </row>
    <row r="146" spans="3:57" ht="17" customHeight="1" x14ac:dyDescent="0.2">
      <c r="C146" s="2"/>
      <c r="D146" s="2"/>
      <c r="F146" s="12">
        <v>233</v>
      </c>
      <c r="G146" s="2">
        <f>G145+Tabla32037[[#This Row],[Incremento]]</f>
        <v>458667.8228125</v>
      </c>
      <c r="H146" s="2">
        <v>1624</v>
      </c>
      <c r="J146" s="12">
        <v>233</v>
      </c>
      <c r="K146" s="2">
        <f>K145+Tabla32037[[#This Row],[Incremento]]</f>
        <v>458667.8228125</v>
      </c>
      <c r="L146" s="2">
        <v>1624</v>
      </c>
      <c r="N146" s="12">
        <v>233</v>
      </c>
      <c r="O146" s="2">
        <f>O145+Tabla32037[[#This Row],[Incremento]]</f>
        <v>372863.72655000002</v>
      </c>
      <c r="P146" s="2">
        <v>1624</v>
      </c>
      <c r="R146" s="12">
        <v>233</v>
      </c>
      <c r="S146" s="2">
        <f>S145+Tabla32037[[#This Row],[Incremento]]</f>
        <v>276767.3125</v>
      </c>
      <c r="T146" s="2">
        <v>1624</v>
      </c>
      <c r="V146" s="12">
        <v>233</v>
      </c>
      <c r="W146" s="2">
        <f>W145+Tabla32037[[#This Row],[Incremento]]</f>
        <v>804462.61494397931</v>
      </c>
      <c r="X146" s="2">
        <v>1624</v>
      </c>
      <c r="Y146" s="2"/>
      <c r="Z146" s="12">
        <v>233</v>
      </c>
      <c r="AA146" s="2">
        <f>AA145+Tabla32037[[#This Row],[Incremento]]</f>
        <v>333631.06790501636</v>
      </c>
      <c r="AB146" s="2">
        <v>1624</v>
      </c>
      <c r="AC146" s="2"/>
      <c r="AD146" s="12">
        <v>233</v>
      </c>
      <c r="AE146" s="2">
        <f>AE145+Tabla32037[[#This Row],[Incremento]]</f>
        <v>451270.13581003266</v>
      </c>
      <c r="AF146" s="2">
        <v>1624</v>
      </c>
      <c r="AH146" s="12">
        <v>233</v>
      </c>
      <c r="AI146" s="2">
        <f>AI145+Tabla32037[[#This Row],[Incremento]]</f>
        <v>451270.13581003266</v>
      </c>
      <c r="AJ146" s="2">
        <v>1624</v>
      </c>
      <c r="AM146" s="34">
        <v>233</v>
      </c>
      <c r="AN146" s="32">
        <f>AN145+Tabla32037[[#This Row],[Incremento]]</f>
        <v>545381.39013404562</v>
      </c>
      <c r="AO146" s="32">
        <v>1624</v>
      </c>
      <c r="AQ146" s="12">
        <v>233</v>
      </c>
      <c r="AR146" s="2">
        <f>AR145+Tabla32037[[#This Row],[Incremento]]</f>
        <v>439506.22901953099</v>
      </c>
      <c r="AS146" s="2">
        <v>1624</v>
      </c>
      <c r="AU146" s="12">
        <v>233</v>
      </c>
      <c r="AV146" s="2">
        <f>AV145+Tabla32037[[#This Row],[Incremento]]</f>
        <v>630277.60438719997</v>
      </c>
      <c r="AW146" s="2">
        <v>1624</v>
      </c>
      <c r="AX146" s="2"/>
      <c r="AY146" s="12">
        <v>233</v>
      </c>
      <c r="AZ146" s="2">
        <f>AZ145+Tabla32037[[#This Row],[Incremento]]</f>
        <v>1824300.9533449123</v>
      </c>
      <c r="BA146" s="2">
        <v>1624</v>
      </c>
      <c r="BC146" s="12">
        <v>233</v>
      </c>
      <c r="BD146" s="2">
        <f>BD145+Tabla32037[[#This Row],[Incremento]]</f>
        <v>354087.20146240003</v>
      </c>
      <c r="BE146" s="2">
        <v>1624</v>
      </c>
    </row>
    <row r="147" spans="3:57" ht="17" customHeight="1" x14ac:dyDescent="0.2">
      <c r="C147" s="2"/>
      <c r="D147" s="2"/>
      <c r="F147" s="12">
        <v>234</v>
      </c>
      <c r="G147" s="2">
        <f>G146+Tabla32037[[#This Row],[Incremento]]</f>
        <v>460291.8228125</v>
      </c>
      <c r="H147" s="2">
        <v>1624</v>
      </c>
      <c r="J147" s="12">
        <v>234</v>
      </c>
      <c r="K147" s="2">
        <f>K146+Tabla32037[[#This Row],[Incremento]]</f>
        <v>460291.8228125</v>
      </c>
      <c r="L147" s="2">
        <v>1624</v>
      </c>
      <c r="N147" s="12">
        <v>234</v>
      </c>
      <c r="O147" s="2">
        <f>O146+Tabla32037[[#This Row],[Incremento]]</f>
        <v>374487.72655000002</v>
      </c>
      <c r="P147" s="2">
        <v>1624</v>
      </c>
      <c r="R147" s="12">
        <v>234</v>
      </c>
      <c r="S147" s="2">
        <f>S146+Tabla32037[[#This Row],[Incremento]]</f>
        <v>278391.3125</v>
      </c>
      <c r="T147" s="2">
        <v>1624</v>
      </c>
      <c r="V147" s="12">
        <v>234</v>
      </c>
      <c r="W147" s="2">
        <f>W146+Tabla32037[[#This Row],[Incremento]]</f>
        <v>806086.61494397931</v>
      </c>
      <c r="X147" s="2">
        <v>1624</v>
      </c>
      <c r="Y147" s="2"/>
      <c r="Z147" s="12">
        <v>234</v>
      </c>
      <c r="AA147" s="2">
        <f>AA146+Tabla32037[[#This Row],[Incremento]]</f>
        <v>335255.06790501636</v>
      </c>
      <c r="AB147" s="2">
        <v>1624</v>
      </c>
      <c r="AC147" s="2"/>
      <c r="AD147" s="12">
        <v>234</v>
      </c>
      <c r="AE147" s="2">
        <f>AE146+Tabla32037[[#This Row],[Incremento]]</f>
        <v>452894.13581003266</v>
      </c>
      <c r="AF147" s="2">
        <v>1624</v>
      </c>
      <c r="AH147" s="12">
        <v>234</v>
      </c>
      <c r="AI147" s="2">
        <f>AI146+Tabla32037[[#This Row],[Incremento]]</f>
        <v>452894.13581003266</v>
      </c>
      <c r="AJ147" s="2">
        <v>1624</v>
      </c>
      <c r="AM147" s="35">
        <v>234</v>
      </c>
      <c r="AN147" s="10">
        <f>AN146+Tabla32037[[#This Row],[Incremento]]</f>
        <v>547005.39013404562</v>
      </c>
      <c r="AO147" s="10">
        <v>1624</v>
      </c>
      <c r="AQ147" s="12">
        <v>234</v>
      </c>
      <c r="AR147" s="2">
        <f>AR146+Tabla32037[[#This Row],[Incremento]]</f>
        <v>441130.22901953099</v>
      </c>
      <c r="AS147" s="2">
        <v>1624</v>
      </c>
      <c r="AU147" s="12">
        <v>234</v>
      </c>
      <c r="AV147" s="2">
        <f>AV146+Tabla32037[[#This Row],[Incremento]]</f>
        <v>631901.60438719997</v>
      </c>
      <c r="AW147" s="2">
        <v>1624</v>
      </c>
      <c r="AX147" s="2"/>
      <c r="AY147" s="12">
        <v>234</v>
      </c>
      <c r="AZ147" s="2">
        <f>AZ146+Tabla32037[[#This Row],[Incremento]]</f>
        <v>1825924.9533449123</v>
      </c>
      <c r="BA147" s="2">
        <v>1624</v>
      </c>
      <c r="BC147" s="12">
        <v>234</v>
      </c>
      <c r="BD147" s="2">
        <f>BD146+Tabla32037[[#This Row],[Incremento]]</f>
        <v>355711.20146240003</v>
      </c>
      <c r="BE147" s="2">
        <v>1624</v>
      </c>
    </row>
    <row r="148" spans="3:57" ht="17" customHeight="1" x14ac:dyDescent="0.2">
      <c r="C148" s="2"/>
      <c r="D148" s="2"/>
      <c r="F148" s="12">
        <v>235</v>
      </c>
      <c r="G148" s="2">
        <f>G147+Tabla32037[[#This Row],[Incremento]]</f>
        <v>461915.8228125</v>
      </c>
      <c r="H148" s="2">
        <v>1624</v>
      </c>
      <c r="J148" s="12">
        <v>235</v>
      </c>
      <c r="K148" s="2">
        <f>K147+Tabla32037[[#This Row],[Incremento]]</f>
        <v>461915.8228125</v>
      </c>
      <c r="L148" s="2">
        <v>1624</v>
      </c>
      <c r="N148" s="12">
        <v>235</v>
      </c>
      <c r="O148" s="2">
        <f>O147+Tabla32037[[#This Row],[Incremento]]</f>
        <v>376111.72655000002</v>
      </c>
      <c r="P148" s="2">
        <v>1624</v>
      </c>
      <c r="R148" s="12">
        <v>235</v>
      </c>
      <c r="S148" s="2">
        <f>S147+Tabla32037[[#This Row],[Incremento]]</f>
        <v>280015.3125</v>
      </c>
      <c r="T148" s="2">
        <v>1624</v>
      </c>
      <c r="V148" s="12">
        <v>235</v>
      </c>
      <c r="W148" s="2">
        <f>W147+Tabla32037[[#This Row],[Incremento]]</f>
        <v>807710.61494397931</v>
      </c>
      <c r="X148" s="2">
        <v>1624</v>
      </c>
      <c r="Y148" s="2"/>
      <c r="Z148" s="12">
        <v>235</v>
      </c>
      <c r="AA148" s="2">
        <f>AA147+Tabla32037[[#This Row],[Incremento]]</f>
        <v>336879.06790501636</v>
      </c>
      <c r="AB148" s="2">
        <v>1624</v>
      </c>
      <c r="AC148" s="2"/>
      <c r="AD148" s="12">
        <v>235</v>
      </c>
      <c r="AE148" s="2">
        <f>AE147+Tabla32037[[#This Row],[Incremento]]</f>
        <v>454518.13581003266</v>
      </c>
      <c r="AF148" s="2">
        <v>1624</v>
      </c>
      <c r="AH148" s="12">
        <v>235</v>
      </c>
      <c r="AI148" s="2">
        <f>AI147+Tabla32037[[#This Row],[Incremento]]</f>
        <v>454518.13581003266</v>
      </c>
      <c r="AJ148" s="2">
        <v>1624</v>
      </c>
      <c r="AM148" s="34">
        <v>235</v>
      </c>
      <c r="AN148" s="32">
        <f>AN147+Tabla32037[[#This Row],[Incremento]]</f>
        <v>548629.39013404562</v>
      </c>
      <c r="AO148" s="32">
        <v>1624</v>
      </c>
      <c r="AQ148" s="12">
        <v>235</v>
      </c>
      <c r="AR148" s="2">
        <f>AR147+Tabla32037[[#This Row],[Incremento]]</f>
        <v>442754.22901953099</v>
      </c>
      <c r="AS148" s="2">
        <v>1624</v>
      </c>
      <c r="AU148" s="12">
        <v>235</v>
      </c>
      <c r="AV148" s="2">
        <f>AV147+Tabla32037[[#This Row],[Incremento]]</f>
        <v>633525.60438719997</v>
      </c>
      <c r="AW148" s="2">
        <v>1624</v>
      </c>
      <c r="AX148" s="2"/>
      <c r="AY148" s="12">
        <v>235</v>
      </c>
      <c r="AZ148" s="2">
        <f>AZ147+Tabla32037[[#This Row],[Incremento]]</f>
        <v>1827548.9533449123</v>
      </c>
      <c r="BA148" s="2">
        <v>1624</v>
      </c>
      <c r="BC148" s="12">
        <v>235</v>
      </c>
      <c r="BD148" s="2">
        <f>BD147+Tabla32037[[#This Row],[Incremento]]</f>
        <v>357335.20146240003</v>
      </c>
      <c r="BE148" s="2">
        <v>1624</v>
      </c>
    </row>
    <row r="149" spans="3:57" ht="17" customHeight="1" x14ac:dyDescent="0.2">
      <c r="C149" s="2"/>
      <c r="D149" s="2"/>
      <c r="F149" s="12">
        <v>236</v>
      </c>
      <c r="G149" s="2">
        <f>G148+Tabla32037[[#This Row],[Incremento]]</f>
        <v>463539.8228125</v>
      </c>
      <c r="H149" s="2">
        <v>1624</v>
      </c>
      <c r="J149" s="12">
        <v>236</v>
      </c>
      <c r="K149" s="2">
        <f>K148+Tabla32037[[#This Row],[Incremento]]</f>
        <v>463539.8228125</v>
      </c>
      <c r="L149" s="2">
        <v>1624</v>
      </c>
      <c r="N149" s="12">
        <v>236</v>
      </c>
      <c r="O149" s="2">
        <f>O148+Tabla32037[[#This Row],[Incremento]]</f>
        <v>377735.72655000002</v>
      </c>
      <c r="P149" s="2">
        <v>1624</v>
      </c>
      <c r="R149" s="12">
        <v>236</v>
      </c>
      <c r="S149" s="2">
        <f>S148+Tabla32037[[#This Row],[Incremento]]</f>
        <v>281639.3125</v>
      </c>
      <c r="T149" s="2">
        <v>1624</v>
      </c>
      <c r="V149" s="12">
        <v>236</v>
      </c>
      <c r="W149" s="2">
        <f>W148+Tabla32037[[#This Row],[Incremento]]</f>
        <v>809334.61494397931</v>
      </c>
      <c r="X149" s="2">
        <v>1624</v>
      </c>
      <c r="Y149" s="2"/>
      <c r="Z149" s="12">
        <v>236</v>
      </c>
      <c r="AA149" s="2">
        <f>AA148+Tabla32037[[#This Row],[Incremento]]</f>
        <v>338503.06790501636</v>
      </c>
      <c r="AB149" s="2">
        <v>1624</v>
      </c>
      <c r="AC149" s="2"/>
      <c r="AD149" s="12">
        <v>236</v>
      </c>
      <c r="AE149" s="2">
        <f>AE148+Tabla32037[[#This Row],[Incremento]]</f>
        <v>456142.13581003266</v>
      </c>
      <c r="AF149" s="2">
        <v>1624</v>
      </c>
      <c r="AH149" s="12">
        <v>236</v>
      </c>
      <c r="AI149" s="2">
        <f>AI148+Tabla32037[[#This Row],[Incremento]]</f>
        <v>456142.13581003266</v>
      </c>
      <c r="AJ149" s="2">
        <v>1624</v>
      </c>
      <c r="AM149" s="35">
        <v>236</v>
      </c>
      <c r="AN149" s="10">
        <f>AN148+Tabla32037[[#This Row],[Incremento]]</f>
        <v>550253.39013404562</v>
      </c>
      <c r="AO149" s="10">
        <v>1624</v>
      </c>
      <c r="AQ149" s="12">
        <v>236</v>
      </c>
      <c r="AR149" s="2">
        <f>AR148+Tabla32037[[#This Row],[Incremento]]</f>
        <v>444378.22901953099</v>
      </c>
      <c r="AS149" s="2">
        <v>1624</v>
      </c>
      <c r="AU149" s="12">
        <v>236</v>
      </c>
      <c r="AV149" s="2">
        <f>AV148+Tabla32037[[#This Row],[Incremento]]</f>
        <v>635149.60438719997</v>
      </c>
      <c r="AW149" s="2">
        <v>1624</v>
      </c>
      <c r="AX149" s="2"/>
      <c r="AY149" s="12">
        <v>236</v>
      </c>
      <c r="AZ149" s="2">
        <f>AZ148+Tabla32037[[#This Row],[Incremento]]</f>
        <v>1829172.9533449123</v>
      </c>
      <c r="BA149" s="2">
        <v>1624</v>
      </c>
      <c r="BC149" s="12">
        <v>236</v>
      </c>
      <c r="BD149" s="2">
        <f>BD148+Tabla32037[[#This Row],[Incremento]]</f>
        <v>358959.20146240003</v>
      </c>
      <c r="BE149" s="2">
        <v>1624</v>
      </c>
    </row>
    <row r="150" spans="3:57" ht="17" customHeight="1" x14ac:dyDescent="0.2">
      <c r="C150" s="2"/>
      <c r="D150" s="2"/>
      <c r="F150" s="12">
        <v>237</v>
      </c>
      <c r="G150" s="2">
        <f>G149+Tabla32037[[#This Row],[Incremento]]</f>
        <v>465163.8228125</v>
      </c>
      <c r="H150" s="2">
        <v>1624</v>
      </c>
      <c r="J150" s="12">
        <v>237</v>
      </c>
      <c r="K150" s="2">
        <f>K149+Tabla32037[[#This Row],[Incremento]]</f>
        <v>465163.8228125</v>
      </c>
      <c r="L150" s="2">
        <v>1624</v>
      </c>
      <c r="N150" s="12">
        <v>237</v>
      </c>
      <c r="O150" s="2">
        <f>O149+Tabla32037[[#This Row],[Incremento]]</f>
        <v>379359.72655000002</v>
      </c>
      <c r="P150" s="2">
        <v>1624</v>
      </c>
      <c r="R150" s="12">
        <v>237</v>
      </c>
      <c r="S150" s="2">
        <f>S149+Tabla32037[[#This Row],[Incremento]]</f>
        <v>283263.3125</v>
      </c>
      <c r="T150" s="2">
        <v>1624</v>
      </c>
      <c r="V150" s="12">
        <v>237</v>
      </c>
      <c r="W150" s="2">
        <f>W149+Tabla32037[[#This Row],[Incremento]]</f>
        <v>810958.61494397931</v>
      </c>
      <c r="X150" s="2">
        <v>1624</v>
      </c>
      <c r="Y150" s="2"/>
      <c r="Z150" s="12">
        <v>237</v>
      </c>
      <c r="AA150" s="2">
        <f>AA149+Tabla32037[[#This Row],[Incremento]]</f>
        <v>340127.06790501636</v>
      </c>
      <c r="AB150" s="2">
        <v>1624</v>
      </c>
      <c r="AC150" s="2"/>
      <c r="AD150" s="12">
        <v>237</v>
      </c>
      <c r="AE150" s="2">
        <f>AE149+Tabla32037[[#This Row],[Incremento]]</f>
        <v>457766.13581003266</v>
      </c>
      <c r="AF150" s="2">
        <v>1624</v>
      </c>
      <c r="AH150" s="12">
        <v>237</v>
      </c>
      <c r="AI150" s="2">
        <f>AI149+Tabla32037[[#This Row],[Incremento]]</f>
        <v>457766.13581003266</v>
      </c>
      <c r="AJ150" s="2">
        <v>1624</v>
      </c>
      <c r="AM150" s="34">
        <v>237</v>
      </c>
      <c r="AN150" s="32">
        <f>AN149+Tabla32037[[#This Row],[Incremento]]</f>
        <v>551877.39013404562</v>
      </c>
      <c r="AO150" s="32">
        <v>1624</v>
      </c>
      <c r="AQ150" s="12">
        <v>237</v>
      </c>
      <c r="AR150" s="2">
        <f>AR149+Tabla32037[[#This Row],[Incremento]]</f>
        <v>446002.22901953099</v>
      </c>
      <c r="AS150" s="2">
        <v>1624</v>
      </c>
      <c r="AU150" s="12">
        <v>237</v>
      </c>
      <c r="AV150" s="2">
        <f>AV149+Tabla32037[[#This Row],[Incremento]]</f>
        <v>636773.60438719997</v>
      </c>
      <c r="AW150" s="2">
        <v>1624</v>
      </c>
      <c r="AX150" s="2"/>
      <c r="AY150" s="12">
        <v>237</v>
      </c>
      <c r="AZ150" s="2">
        <f>AZ149+Tabla32037[[#This Row],[Incremento]]</f>
        <v>1830796.9533449123</v>
      </c>
      <c r="BA150" s="2">
        <v>1624</v>
      </c>
      <c r="BC150" s="12">
        <v>237</v>
      </c>
      <c r="BD150" s="2">
        <f>BD149+Tabla32037[[#This Row],[Incremento]]</f>
        <v>360583.20146240003</v>
      </c>
      <c r="BE150" s="2">
        <v>1624</v>
      </c>
    </row>
    <row r="151" spans="3:57" ht="17" customHeight="1" x14ac:dyDescent="0.2">
      <c r="C151" s="2"/>
      <c r="D151" s="2"/>
      <c r="F151" s="12">
        <v>238</v>
      </c>
      <c r="G151" s="2">
        <f>G150+Tabla32037[[#This Row],[Incremento]]</f>
        <v>466787.8228125</v>
      </c>
      <c r="H151" s="2">
        <v>1624</v>
      </c>
      <c r="J151" s="12">
        <v>238</v>
      </c>
      <c r="K151" s="2">
        <f>K150+Tabla32037[[#This Row],[Incremento]]</f>
        <v>466787.8228125</v>
      </c>
      <c r="L151" s="2">
        <v>1624</v>
      </c>
      <c r="N151" s="12">
        <v>238</v>
      </c>
      <c r="O151" s="2">
        <f>O150+Tabla32037[[#This Row],[Incremento]]</f>
        <v>380983.72655000002</v>
      </c>
      <c r="P151" s="2">
        <v>1624</v>
      </c>
      <c r="R151" s="12">
        <v>238</v>
      </c>
      <c r="S151" s="2">
        <f>S150+Tabla32037[[#This Row],[Incremento]]</f>
        <v>284887.3125</v>
      </c>
      <c r="T151" s="2">
        <v>1624</v>
      </c>
      <c r="V151" s="12">
        <v>238</v>
      </c>
      <c r="W151" s="2">
        <f>W150+Tabla32037[[#This Row],[Incremento]]</f>
        <v>812582.61494397931</v>
      </c>
      <c r="X151" s="2">
        <v>1624</v>
      </c>
      <c r="Y151" s="2"/>
      <c r="Z151" s="12">
        <v>238</v>
      </c>
      <c r="AA151" s="2">
        <f>AA150+Tabla32037[[#This Row],[Incremento]]</f>
        <v>341751.06790501636</v>
      </c>
      <c r="AB151" s="2">
        <v>1624</v>
      </c>
      <c r="AC151" s="2"/>
      <c r="AD151" s="12">
        <v>238</v>
      </c>
      <c r="AE151" s="2">
        <f>AE150+Tabla32037[[#This Row],[Incremento]]</f>
        <v>459390.13581003266</v>
      </c>
      <c r="AF151" s="2">
        <v>1624</v>
      </c>
      <c r="AH151" s="12">
        <v>238</v>
      </c>
      <c r="AI151" s="2">
        <f>AI150+Tabla32037[[#This Row],[Incremento]]</f>
        <v>459390.13581003266</v>
      </c>
      <c r="AJ151" s="2">
        <v>1624</v>
      </c>
      <c r="AM151" s="35">
        <v>238</v>
      </c>
      <c r="AN151" s="10">
        <f>AN150+Tabla32037[[#This Row],[Incremento]]</f>
        <v>553501.39013404562</v>
      </c>
      <c r="AO151" s="10">
        <v>1624</v>
      </c>
      <c r="AQ151" s="12">
        <v>238</v>
      </c>
      <c r="AR151" s="2">
        <f>AR150+Tabla32037[[#This Row],[Incremento]]</f>
        <v>447626.22901953099</v>
      </c>
      <c r="AS151" s="2">
        <v>1624</v>
      </c>
      <c r="AU151" s="12">
        <v>238</v>
      </c>
      <c r="AV151" s="2">
        <f>AV150+Tabla32037[[#This Row],[Incremento]]</f>
        <v>638397.60438719997</v>
      </c>
      <c r="AW151" s="2">
        <v>1624</v>
      </c>
      <c r="AX151" s="2"/>
      <c r="AY151" s="12">
        <v>238</v>
      </c>
      <c r="AZ151" s="2">
        <f>AZ150+Tabla32037[[#This Row],[Incremento]]</f>
        <v>1832420.9533449123</v>
      </c>
      <c r="BA151" s="2">
        <v>1624</v>
      </c>
      <c r="BC151" s="12">
        <v>238</v>
      </c>
      <c r="BD151" s="2">
        <f>BD150+Tabla32037[[#This Row],[Incremento]]</f>
        <v>362207.20146240003</v>
      </c>
      <c r="BE151" s="2">
        <v>1624</v>
      </c>
    </row>
    <row r="152" spans="3:57" ht="17" customHeight="1" x14ac:dyDescent="0.2">
      <c r="C152" s="2"/>
      <c r="D152" s="2"/>
      <c r="F152" s="12">
        <v>239</v>
      </c>
      <c r="G152" s="2">
        <f>G151+Tabla32037[[#This Row],[Incremento]]</f>
        <v>468411.8228125</v>
      </c>
      <c r="H152" s="2">
        <v>1624</v>
      </c>
      <c r="J152" s="12">
        <v>239</v>
      </c>
      <c r="K152" s="2">
        <f>K151+Tabla32037[[#This Row],[Incremento]]</f>
        <v>468411.8228125</v>
      </c>
      <c r="L152" s="2">
        <v>1624</v>
      </c>
      <c r="N152" s="12">
        <v>239</v>
      </c>
      <c r="O152" s="2">
        <f>O151+Tabla32037[[#This Row],[Incremento]]</f>
        <v>382607.72655000002</v>
      </c>
      <c r="P152" s="2">
        <v>1624</v>
      </c>
      <c r="R152" s="12">
        <v>239</v>
      </c>
      <c r="S152" s="2">
        <f>S151+Tabla32037[[#This Row],[Incremento]]</f>
        <v>286511.3125</v>
      </c>
      <c r="T152" s="2">
        <v>1624</v>
      </c>
      <c r="V152" s="12">
        <v>239</v>
      </c>
      <c r="W152" s="2">
        <f>W151+Tabla32037[[#This Row],[Incremento]]</f>
        <v>814206.61494397931</v>
      </c>
      <c r="X152" s="2">
        <v>1624</v>
      </c>
      <c r="Y152" s="2"/>
      <c r="Z152" s="12">
        <v>239</v>
      </c>
      <c r="AA152" s="2">
        <f>AA151+Tabla32037[[#This Row],[Incremento]]</f>
        <v>343375.06790501636</v>
      </c>
      <c r="AB152" s="2">
        <v>1624</v>
      </c>
      <c r="AC152" s="2"/>
      <c r="AD152" s="12">
        <v>239</v>
      </c>
      <c r="AE152" s="2">
        <f>AE151+Tabla32037[[#This Row],[Incremento]]</f>
        <v>461014.13581003266</v>
      </c>
      <c r="AF152" s="2">
        <v>1624</v>
      </c>
      <c r="AH152" s="12">
        <v>239</v>
      </c>
      <c r="AI152" s="2">
        <f>AI151+Tabla32037[[#This Row],[Incremento]]</f>
        <v>461014.13581003266</v>
      </c>
      <c r="AJ152" s="2">
        <v>1624</v>
      </c>
      <c r="AM152" s="34">
        <v>239</v>
      </c>
      <c r="AN152" s="32">
        <f>AN151+Tabla32037[[#This Row],[Incremento]]</f>
        <v>555125.39013404562</v>
      </c>
      <c r="AO152" s="32">
        <v>1624</v>
      </c>
      <c r="AQ152" s="12">
        <v>239</v>
      </c>
      <c r="AR152" s="2">
        <f>AR151+Tabla32037[[#This Row],[Incremento]]</f>
        <v>449250.22901953099</v>
      </c>
      <c r="AS152" s="2">
        <v>1624</v>
      </c>
      <c r="AU152" s="12">
        <v>239</v>
      </c>
      <c r="AV152" s="2">
        <f>AV151+Tabla32037[[#This Row],[Incremento]]</f>
        <v>640021.60438719997</v>
      </c>
      <c r="AW152" s="2">
        <v>1624</v>
      </c>
      <c r="AX152" s="2"/>
      <c r="AY152" s="12">
        <v>239</v>
      </c>
      <c r="AZ152" s="2">
        <f>AZ151+Tabla32037[[#This Row],[Incremento]]</f>
        <v>1834044.9533449123</v>
      </c>
      <c r="BA152" s="2">
        <v>1624</v>
      </c>
      <c r="BC152" s="12">
        <v>239</v>
      </c>
      <c r="BD152" s="2">
        <f>BD151+Tabla32037[[#This Row],[Incremento]]</f>
        <v>363831.20146240003</v>
      </c>
      <c r="BE152" s="2">
        <v>1624</v>
      </c>
    </row>
    <row r="153" spans="3:57" ht="17" customHeight="1" x14ac:dyDescent="0.2">
      <c r="C153" s="2"/>
      <c r="D153" s="2"/>
      <c r="F153" s="12">
        <v>240</v>
      </c>
      <c r="G153" s="2">
        <f>G152+Tabla32037[[#This Row],[Incremento]]</f>
        <v>470035.8228125</v>
      </c>
      <c r="H153" s="2">
        <v>1624</v>
      </c>
      <c r="J153" s="12">
        <v>240</v>
      </c>
      <c r="K153" s="2">
        <f>K152+Tabla32037[[#This Row],[Incremento]]</f>
        <v>470035.8228125</v>
      </c>
      <c r="L153" s="2">
        <v>1624</v>
      </c>
      <c r="N153" s="12">
        <v>240</v>
      </c>
      <c r="O153" s="2">
        <f>O152+Tabla32037[[#This Row],[Incremento]]</f>
        <v>384231.72655000002</v>
      </c>
      <c r="P153" s="2">
        <v>1624</v>
      </c>
      <c r="R153" s="12">
        <v>240</v>
      </c>
      <c r="S153" s="2">
        <f>S152+Tabla32037[[#This Row],[Incremento]]</f>
        <v>288135.3125</v>
      </c>
      <c r="T153" s="2">
        <v>1624</v>
      </c>
      <c r="V153" s="12">
        <v>240</v>
      </c>
      <c r="W153" s="2">
        <f>W152+Tabla32037[[#This Row],[Incremento]]</f>
        <v>815830.61494397931</v>
      </c>
      <c r="X153" s="2">
        <v>1624</v>
      </c>
      <c r="Y153" s="2"/>
      <c r="Z153" s="12">
        <v>240</v>
      </c>
      <c r="AA153" s="2">
        <f>AA152+Tabla32037[[#This Row],[Incremento]]</f>
        <v>344999.06790501636</v>
      </c>
      <c r="AB153" s="2">
        <v>1624</v>
      </c>
      <c r="AC153" s="2"/>
      <c r="AD153" s="12">
        <v>240</v>
      </c>
      <c r="AE153" s="2">
        <f>AE152+Tabla32037[[#This Row],[Incremento]]</f>
        <v>462638.13581003266</v>
      </c>
      <c r="AF153" s="2">
        <v>1624</v>
      </c>
      <c r="AH153" s="12">
        <v>240</v>
      </c>
      <c r="AI153" s="2">
        <f>AI152+Tabla32037[[#This Row],[Incremento]]</f>
        <v>462638.13581003266</v>
      </c>
      <c r="AJ153" s="2">
        <v>1624</v>
      </c>
      <c r="AM153" s="35">
        <v>240</v>
      </c>
      <c r="AN153" s="10">
        <f>AN152+Tabla32037[[#This Row],[Incremento]]</f>
        <v>556749.39013404562</v>
      </c>
      <c r="AO153" s="10">
        <v>1624</v>
      </c>
      <c r="AQ153" s="12">
        <v>240</v>
      </c>
      <c r="AR153" s="2">
        <f>AR152+Tabla32037[[#This Row],[Incremento]]</f>
        <v>450874.22901953099</v>
      </c>
      <c r="AS153" s="2">
        <v>1624</v>
      </c>
      <c r="AU153" s="12">
        <v>240</v>
      </c>
      <c r="AV153" s="2">
        <f>AV152+Tabla32037[[#This Row],[Incremento]]</f>
        <v>641645.60438719997</v>
      </c>
      <c r="AW153" s="2">
        <v>1624</v>
      </c>
      <c r="AX153" s="2"/>
      <c r="AY153" s="12">
        <v>240</v>
      </c>
      <c r="AZ153" s="2">
        <f>AZ152+Tabla32037[[#This Row],[Incremento]]</f>
        <v>1835668.9533449123</v>
      </c>
      <c r="BA153" s="2">
        <v>1624</v>
      </c>
      <c r="BC153" s="12">
        <v>240</v>
      </c>
      <c r="BD153" s="2">
        <f>BD152+Tabla32037[[#This Row],[Incremento]]</f>
        <v>365455.20146240003</v>
      </c>
      <c r="BE153" s="2">
        <v>1624</v>
      </c>
    </row>
    <row r="154" spans="3:57" ht="17" customHeight="1" x14ac:dyDescent="0.2">
      <c r="C154" s="2"/>
      <c r="D154" s="2"/>
      <c r="F154" s="12">
        <v>241</v>
      </c>
      <c r="G154" s="2">
        <f>G153+Tabla32037[[#This Row],[Incremento]]</f>
        <v>471659.8228125</v>
      </c>
      <c r="H154" s="2">
        <v>1624</v>
      </c>
      <c r="J154" s="12">
        <v>241</v>
      </c>
      <c r="K154" s="2">
        <f>K153+Tabla32037[[#This Row],[Incremento]]</f>
        <v>471659.8228125</v>
      </c>
      <c r="L154" s="2">
        <v>1624</v>
      </c>
      <c r="N154" s="12">
        <v>241</v>
      </c>
      <c r="O154" s="2">
        <f>O153+Tabla32037[[#This Row],[Incremento]]</f>
        <v>385855.72655000002</v>
      </c>
      <c r="P154" s="2">
        <v>1624</v>
      </c>
      <c r="R154" s="12">
        <v>241</v>
      </c>
      <c r="S154" s="2">
        <f>S153+Tabla32037[[#This Row],[Incremento]]</f>
        <v>289759.3125</v>
      </c>
      <c r="T154" s="2">
        <v>1624</v>
      </c>
      <c r="V154" s="12">
        <v>241</v>
      </c>
      <c r="W154" s="2">
        <f>W153+Tabla32037[[#This Row],[Incremento]]</f>
        <v>817454.61494397931</v>
      </c>
      <c r="X154" s="2">
        <v>1624</v>
      </c>
      <c r="Y154" s="2"/>
      <c r="Z154" s="12">
        <v>241</v>
      </c>
      <c r="AA154" s="2">
        <f>AA153+Tabla32037[[#This Row],[Incremento]]</f>
        <v>346623.06790501636</v>
      </c>
      <c r="AB154" s="2">
        <v>1624</v>
      </c>
      <c r="AC154" s="2"/>
      <c r="AD154" s="12">
        <v>241</v>
      </c>
      <c r="AE154" s="2">
        <f>AE153+Tabla32037[[#This Row],[Incremento]]</f>
        <v>464262.13581003266</v>
      </c>
      <c r="AF154" s="2">
        <v>1624</v>
      </c>
      <c r="AH154" s="12">
        <v>241</v>
      </c>
      <c r="AI154" s="2">
        <f>AI153+Tabla32037[[#This Row],[Incremento]]</f>
        <v>464262.13581003266</v>
      </c>
      <c r="AJ154" s="2">
        <v>1624</v>
      </c>
      <c r="AM154" s="34">
        <v>241</v>
      </c>
      <c r="AN154" s="32">
        <f>AN153+Tabla32037[[#This Row],[Incremento]]</f>
        <v>558373.39013404562</v>
      </c>
      <c r="AO154" s="32">
        <v>1624</v>
      </c>
      <c r="AQ154" s="12">
        <v>241</v>
      </c>
      <c r="AR154" s="2">
        <f>AR153+Tabla32037[[#This Row],[Incremento]]</f>
        <v>452498.22901953099</v>
      </c>
      <c r="AS154" s="2">
        <v>1624</v>
      </c>
      <c r="AU154" s="12">
        <v>241</v>
      </c>
      <c r="AV154" s="2">
        <f>AV153+Tabla32037[[#This Row],[Incremento]]</f>
        <v>643269.60438719997</v>
      </c>
      <c r="AW154" s="2">
        <v>1624</v>
      </c>
      <c r="AX154" s="2"/>
      <c r="AY154" s="12">
        <v>241</v>
      </c>
      <c r="AZ154" s="2">
        <f>AZ153+Tabla32037[[#This Row],[Incremento]]</f>
        <v>1837292.9533449123</v>
      </c>
      <c r="BA154" s="2">
        <v>1624</v>
      </c>
      <c r="BC154" s="12">
        <v>241</v>
      </c>
      <c r="BD154" s="2">
        <f>BD153+Tabla32037[[#This Row],[Incremento]]</f>
        <v>367079.20146240003</v>
      </c>
      <c r="BE154" s="2">
        <v>1624</v>
      </c>
    </row>
    <row r="155" spans="3:57" ht="17" customHeight="1" x14ac:dyDescent="0.2">
      <c r="C155" s="2"/>
      <c r="D155" s="2"/>
      <c r="F155" s="12">
        <v>242</v>
      </c>
      <c r="G155" s="2">
        <f>G154+Tabla32037[[#This Row],[Incremento]]</f>
        <v>473283.8228125</v>
      </c>
      <c r="H155" s="2">
        <v>1624</v>
      </c>
      <c r="J155" s="12">
        <v>242</v>
      </c>
      <c r="K155" s="2">
        <f>K154+Tabla32037[[#This Row],[Incremento]]</f>
        <v>473283.8228125</v>
      </c>
      <c r="L155" s="2">
        <v>1624</v>
      </c>
      <c r="N155" s="12">
        <v>242</v>
      </c>
      <c r="O155" s="2">
        <f>O154+Tabla32037[[#This Row],[Incremento]]</f>
        <v>387479.72655000002</v>
      </c>
      <c r="P155" s="2">
        <v>1624</v>
      </c>
      <c r="R155" s="12">
        <v>242</v>
      </c>
      <c r="S155" s="2">
        <f>S154+Tabla32037[[#This Row],[Incremento]]</f>
        <v>291383.3125</v>
      </c>
      <c r="T155" s="2">
        <v>1624</v>
      </c>
      <c r="V155" s="12">
        <v>242</v>
      </c>
      <c r="W155" s="2">
        <f>W154+Tabla32037[[#This Row],[Incremento]]</f>
        <v>819078.61494397931</v>
      </c>
      <c r="X155" s="2">
        <v>1624</v>
      </c>
      <c r="Y155" s="2"/>
      <c r="Z155" s="12">
        <v>242</v>
      </c>
      <c r="AA155" s="2">
        <f>AA154+Tabla32037[[#This Row],[Incremento]]</f>
        <v>348247.06790501636</v>
      </c>
      <c r="AB155" s="2">
        <v>1624</v>
      </c>
      <c r="AC155" s="2"/>
      <c r="AD155" s="12">
        <v>242</v>
      </c>
      <c r="AE155" s="2">
        <f>AE154+Tabla32037[[#This Row],[Incremento]]</f>
        <v>465886.13581003266</v>
      </c>
      <c r="AF155" s="2">
        <v>1624</v>
      </c>
      <c r="AH155" s="12">
        <v>242</v>
      </c>
      <c r="AI155" s="2">
        <f>AI154+Tabla32037[[#This Row],[Incremento]]</f>
        <v>465886.13581003266</v>
      </c>
      <c r="AJ155" s="2">
        <v>1624</v>
      </c>
      <c r="AM155" s="35">
        <v>242</v>
      </c>
      <c r="AN155" s="10">
        <f>AN154+Tabla32037[[#This Row],[Incremento]]</f>
        <v>559997.39013404562</v>
      </c>
      <c r="AO155" s="10">
        <v>1624</v>
      </c>
      <c r="AQ155" s="12">
        <v>242</v>
      </c>
      <c r="AR155" s="2">
        <f>AR154+Tabla32037[[#This Row],[Incremento]]</f>
        <v>454122.22901953099</v>
      </c>
      <c r="AS155" s="2">
        <v>1624</v>
      </c>
      <c r="AU155" s="12">
        <v>242</v>
      </c>
      <c r="AV155" s="2">
        <f>AV154+Tabla32037[[#This Row],[Incremento]]</f>
        <v>644893.60438719997</v>
      </c>
      <c r="AW155" s="2">
        <v>1624</v>
      </c>
      <c r="AX155" s="2"/>
      <c r="AY155" s="12">
        <v>242</v>
      </c>
      <c r="AZ155" s="2">
        <f>AZ154+Tabla32037[[#This Row],[Incremento]]</f>
        <v>1838916.9533449123</v>
      </c>
      <c r="BA155" s="2">
        <v>1624</v>
      </c>
      <c r="BC155" s="12">
        <v>242</v>
      </c>
      <c r="BD155" s="2">
        <f>BD154+Tabla32037[[#This Row],[Incremento]]</f>
        <v>368703.20146240003</v>
      </c>
      <c r="BE155" s="2">
        <v>1624</v>
      </c>
    </row>
    <row r="156" spans="3:57" ht="17" customHeight="1" x14ac:dyDescent="0.2">
      <c r="C156" s="2"/>
      <c r="D156" s="2"/>
      <c r="F156" s="12">
        <v>243</v>
      </c>
      <c r="G156" s="2">
        <f>G155+Tabla32037[[#This Row],[Incremento]]</f>
        <v>474907.8228125</v>
      </c>
      <c r="H156" s="2">
        <v>1624</v>
      </c>
      <c r="J156" s="12">
        <v>243</v>
      </c>
      <c r="K156" s="2">
        <f>K155+Tabla32037[[#This Row],[Incremento]]</f>
        <v>474907.8228125</v>
      </c>
      <c r="L156" s="2">
        <v>1624</v>
      </c>
      <c r="N156" s="12">
        <v>243</v>
      </c>
      <c r="O156" s="2">
        <f>O155+Tabla32037[[#This Row],[Incremento]]</f>
        <v>389103.72655000002</v>
      </c>
      <c r="P156" s="2">
        <v>1624</v>
      </c>
      <c r="R156" s="12">
        <v>243</v>
      </c>
      <c r="S156" s="2">
        <f>S155+Tabla32037[[#This Row],[Incremento]]</f>
        <v>293007.3125</v>
      </c>
      <c r="T156" s="2">
        <v>1624</v>
      </c>
      <c r="V156" s="12">
        <v>243</v>
      </c>
      <c r="W156" s="2">
        <f>W155+Tabla32037[[#This Row],[Incremento]]</f>
        <v>820702.61494397931</v>
      </c>
      <c r="X156" s="2">
        <v>1624</v>
      </c>
      <c r="Y156" s="2"/>
      <c r="Z156" s="12">
        <v>243</v>
      </c>
      <c r="AA156" s="2">
        <f>AA155+Tabla32037[[#This Row],[Incremento]]</f>
        <v>349871.06790501636</v>
      </c>
      <c r="AB156" s="2">
        <v>1624</v>
      </c>
      <c r="AC156" s="2"/>
      <c r="AD156" s="12">
        <v>243</v>
      </c>
      <c r="AE156" s="2">
        <f>AE155+Tabla32037[[#This Row],[Incremento]]</f>
        <v>467510.13581003266</v>
      </c>
      <c r="AF156" s="2">
        <v>1624</v>
      </c>
      <c r="AH156" s="12">
        <v>243</v>
      </c>
      <c r="AI156" s="2">
        <f>AI155+Tabla32037[[#This Row],[Incremento]]</f>
        <v>467510.13581003266</v>
      </c>
      <c r="AJ156" s="2">
        <v>1624</v>
      </c>
      <c r="AM156" s="34">
        <v>243</v>
      </c>
      <c r="AN156" s="32">
        <f>AN155+Tabla32037[[#This Row],[Incremento]]</f>
        <v>561621.39013404562</v>
      </c>
      <c r="AO156" s="32">
        <v>1624</v>
      </c>
      <c r="AQ156" s="12">
        <v>243</v>
      </c>
      <c r="AR156" s="2">
        <f>AR155+Tabla32037[[#This Row],[Incremento]]</f>
        <v>455746.22901953099</v>
      </c>
      <c r="AS156" s="2">
        <v>1624</v>
      </c>
      <c r="AU156" s="12">
        <v>243</v>
      </c>
      <c r="AV156" s="2">
        <f>AV155+Tabla32037[[#This Row],[Incremento]]</f>
        <v>646517.60438719997</v>
      </c>
      <c r="AW156" s="2">
        <v>1624</v>
      </c>
      <c r="AX156" s="2"/>
      <c r="AY156" s="12">
        <v>243</v>
      </c>
      <c r="AZ156" s="2">
        <f>AZ155+Tabla32037[[#This Row],[Incremento]]</f>
        <v>1840540.9533449123</v>
      </c>
      <c r="BA156" s="2">
        <v>1624</v>
      </c>
      <c r="BC156" s="12">
        <v>243</v>
      </c>
      <c r="BD156" s="2">
        <f>BD155+Tabla32037[[#This Row],[Incremento]]</f>
        <v>370327.20146240003</v>
      </c>
      <c r="BE156" s="2">
        <v>1624</v>
      </c>
    </row>
    <row r="157" spans="3:57" ht="17" customHeight="1" x14ac:dyDescent="0.2">
      <c r="C157" s="2"/>
      <c r="D157" s="2"/>
      <c r="F157" s="12">
        <v>244</v>
      </c>
      <c r="G157" s="2">
        <f>G156+Tabla32037[[#This Row],[Incremento]]</f>
        <v>476531.8228125</v>
      </c>
      <c r="H157" s="2">
        <v>1624</v>
      </c>
      <c r="J157" s="12">
        <v>244</v>
      </c>
      <c r="K157" s="2">
        <f>K156+Tabla32037[[#This Row],[Incremento]]</f>
        <v>476531.8228125</v>
      </c>
      <c r="L157" s="2">
        <v>1624</v>
      </c>
      <c r="N157" s="12">
        <v>244</v>
      </c>
      <c r="O157" s="2">
        <f>O156+Tabla32037[[#This Row],[Incremento]]</f>
        <v>390727.72655000002</v>
      </c>
      <c r="P157" s="2">
        <v>1624</v>
      </c>
      <c r="R157" s="12">
        <v>244</v>
      </c>
      <c r="S157" s="2">
        <f>S156+Tabla32037[[#This Row],[Incremento]]</f>
        <v>294631.3125</v>
      </c>
      <c r="T157" s="2">
        <v>1624</v>
      </c>
      <c r="V157" s="12">
        <v>244</v>
      </c>
      <c r="W157" s="2">
        <f>W156+Tabla32037[[#This Row],[Incremento]]</f>
        <v>822326.61494397931</v>
      </c>
      <c r="X157" s="2">
        <v>1624</v>
      </c>
      <c r="Y157" s="2"/>
      <c r="Z157" s="12">
        <v>244</v>
      </c>
      <c r="AA157" s="2">
        <f>AA156+Tabla32037[[#This Row],[Incremento]]</f>
        <v>351495.06790501636</v>
      </c>
      <c r="AB157" s="2">
        <v>1624</v>
      </c>
      <c r="AC157" s="2"/>
      <c r="AD157" s="12">
        <v>244</v>
      </c>
      <c r="AE157" s="2">
        <f>AE156+Tabla32037[[#This Row],[Incremento]]</f>
        <v>469134.13581003266</v>
      </c>
      <c r="AF157" s="2">
        <v>1624</v>
      </c>
      <c r="AH157" s="12">
        <v>244</v>
      </c>
      <c r="AI157" s="2">
        <f>AI156+Tabla32037[[#This Row],[Incremento]]</f>
        <v>469134.13581003266</v>
      </c>
      <c r="AJ157" s="2">
        <v>1624</v>
      </c>
      <c r="AM157" s="35">
        <v>244</v>
      </c>
      <c r="AN157" s="10">
        <f>AN156+Tabla32037[[#This Row],[Incremento]]</f>
        <v>563245.39013404562</v>
      </c>
      <c r="AO157" s="10">
        <v>1624</v>
      </c>
      <c r="AQ157" s="12">
        <v>244</v>
      </c>
      <c r="AR157" s="2">
        <f>AR156+Tabla32037[[#This Row],[Incremento]]</f>
        <v>457370.22901953099</v>
      </c>
      <c r="AS157" s="2">
        <v>1624</v>
      </c>
      <c r="AU157" s="12">
        <v>244</v>
      </c>
      <c r="AV157" s="2">
        <f>AV156+Tabla32037[[#This Row],[Incremento]]</f>
        <v>648141.60438719997</v>
      </c>
      <c r="AW157" s="2">
        <v>1624</v>
      </c>
      <c r="AX157" s="2"/>
      <c r="AY157" s="12">
        <v>244</v>
      </c>
      <c r="AZ157" s="2">
        <f>AZ156+Tabla32037[[#This Row],[Incremento]]</f>
        <v>1842164.9533449123</v>
      </c>
      <c r="BA157" s="2">
        <v>1624</v>
      </c>
      <c r="BC157" s="12">
        <v>244</v>
      </c>
      <c r="BD157" s="2">
        <f>BD156+Tabla32037[[#This Row],[Incremento]]</f>
        <v>371951.20146240003</v>
      </c>
      <c r="BE157" s="2">
        <v>1624</v>
      </c>
    </row>
    <row r="158" spans="3:57" ht="17" customHeight="1" x14ac:dyDescent="0.2">
      <c r="C158" s="2"/>
      <c r="D158" s="2"/>
      <c r="F158" s="12">
        <v>245</v>
      </c>
      <c r="G158" s="2">
        <f>G157+Tabla32037[[#This Row],[Incremento]]</f>
        <v>478155.8228125</v>
      </c>
      <c r="H158" s="2">
        <v>1624</v>
      </c>
      <c r="J158" s="12">
        <v>245</v>
      </c>
      <c r="K158" s="2">
        <f>K157+Tabla32037[[#This Row],[Incremento]]</f>
        <v>478155.8228125</v>
      </c>
      <c r="L158" s="2">
        <v>1624</v>
      </c>
      <c r="N158" s="12">
        <v>245</v>
      </c>
      <c r="O158" s="2">
        <f>O157+Tabla32037[[#This Row],[Incremento]]</f>
        <v>392351.72655000002</v>
      </c>
      <c r="P158" s="2">
        <v>1624</v>
      </c>
      <c r="R158" s="12">
        <v>245</v>
      </c>
      <c r="S158" s="2">
        <f>S157+Tabla32037[[#This Row],[Incremento]]</f>
        <v>296255.3125</v>
      </c>
      <c r="T158" s="2">
        <v>1624</v>
      </c>
      <c r="V158" s="12">
        <v>245</v>
      </c>
      <c r="W158" s="2">
        <f>W157+Tabla32037[[#This Row],[Incremento]]</f>
        <v>823950.61494397931</v>
      </c>
      <c r="X158" s="2">
        <v>1624</v>
      </c>
      <c r="Y158" s="2"/>
      <c r="Z158" s="12">
        <v>245</v>
      </c>
      <c r="AA158" s="2">
        <f>AA157+Tabla32037[[#This Row],[Incremento]]</f>
        <v>353119.06790501636</v>
      </c>
      <c r="AB158" s="2">
        <v>1624</v>
      </c>
      <c r="AC158" s="2"/>
      <c r="AD158" s="12">
        <v>245</v>
      </c>
      <c r="AE158" s="2">
        <f>AE157+Tabla32037[[#This Row],[Incremento]]</f>
        <v>470758.13581003266</v>
      </c>
      <c r="AF158" s="2">
        <v>1624</v>
      </c>
      <c r="AH158" s="12">
        <v>245</v>
      </c>
      <c r="AI158" s="2">
        <f>AI157+Tabla32037[[#This Row],[Incremento]]</f>
        <v>470758.13581003266</v>
      </c>
      <c r="AJ158" s="2">
        <v>1624</v>
      </c>
      <c r="AM158" s="34">
        <v>245</v>
      </c>
      <c r="AN158" s="32">
        <f>AN157+Tabla32037[[#This Row],[Incremento]]</f>
        <v>564869.39013404562</v>
      </c>
      <c r="AO158" s="32">
        <v>1624</v>
      </c>
      <c r="AQ158" s="12">
        <v>245</v>
      </c>
      <c r="AR158" s="2">
        <f>AR157+Tabla32037[[#This Row],[Incremento]]</f>
        <v>458994.22901953099</v>
      </c>
      <c r="AS158" s="2">
        <v>1624</v>
      </c>
      <c r="AU158" s="12">
        <v>245</v>
      </c>
      <c r="AV158" s="2">
        <f>AV157+Tabla32037[[#This Row],[Incremento]]</f>
        <v>649765.60438719997</v>
      </c>
      <c r="AW158" s="2">
        <v>1624</v>
      </c>
      <c r="AX158" s="2"/>
      <c r="AY158" s="12">
        <v>245</v>
      </c>
      <c r="AZ158" s="2">
        <f>AZ157+Tabla32037[[#This Row],[Incremento]]</f>
        <v>1843788.9533449123</v>
      </c>
      <c r="BA158" s="2">
        <v>1624</v>
      </c>
      <c r="BC158" s="12">
        <v>245</v>
      </c>
      <c r="BD158" s="2">
        <f>BD157+Tabla32037[[#This Row],[Incremento]]</f>
        <v>373575.20146240003</v>
      </c>
      <c r="BE158" s="2">
        <v>1624</v>
      </c>
    </row>
    <row r="159" spans="3:57" ht="17" customHeight="1" x14ac:dyDescent="0.2">
      <c r="C159" s="2"/>
      <c r="D159" s="2"/>
      <c r="F159" s="12">
        <v>246</v>
      </c>
      <c r="G159" s="2">
        <f>G158+Tabla32037[[#This Row],[Incremento]]</f>
        <v>479779.8228125</v>
      </c>
      <c r="H159" s="2">
        <v>1624</v>
      </c>
      <c r="J159" s="12">
        <v>246</v>
      </c>
      <c r="K159" s="2">
        <f>K158+Tabla32037[[#This Row],[Incremento]]</f>
        <v>479779.8228125</v>
      </c>
      <c r="L159" s="2">
        <v>1624</v>
      </c>
      <c r="N159" s="12">
        <v>246</v>
      </c>
      <c r="O159" s="2">
        <f>O158+Tabla32037[[#This Row],[Incremento]]</f>
        <v>393975.72655000002</v>
      </c>
      <c r="P159" s="2">
        <v>1624</v>
      </c>
      <c r="R159" s="12">
        <v>246</v>
      </c>
      <c r="S159" s="2">
        <f>S158+Tabla32037[[#This Row],[Incremento]]</f>
        <v>297879.3125</v>
      </c>
      <c r="T159" s="2">
        <v>1624</v>
      </c>
      <c r="V159" s="12">
        <v>246</v>
      </c>
      <c r="W159" s="2">
        <f>W158+Tabla32037[[#This Row],[Incremento]]</f>
        <v>825574.61494397931</v>
      </c>
      <c r="X159" s="2">
        <v>1624</v>
      </c>
      <c r="Y159" s="2"/>
      <c r="Z159" s="12">
        <v>246</v>
      </c>
      <c r="AA159" s="2">
        <f>AA158+Tabla32037[[#This Row],[Incremento]]</f>
        <v>354743.06790501636</v>
      </c>
      <c r="AB159" s="2">
        <v>1624</v>
      </c>
      <c r="AC159" s="2"/>
      <c r="AD159" s="12">
        <v>246</v>
      </c>
      <c r="AE159" s="2">
        <f>AE158+Tabla32037[[#This Row],[Incremento]]</f>
        <v>472382.13581003266</v>
      </c>
      <c r="AF159" s="2">
        <v>1624</v>
      </c>
      <c r="AH159" s="12">
        <v>246</v>
      </c>
      <c r="AI159" s="2">
        <f>AI158+Tabla32037[[#This Row],[Incremento]]</f>
        <v>472382.13581003266</v>
      </c>
      <c r="AJ159" s="2">
        <v>1624</v>
      </c>
      <c r="AM159" s="35">
        <v>246</v>
      </c>
      <c r="AN159" s="10">
        <f>AN158+Tabla32037[[#This Row],[Incremento]]</f>
        <v>566493.39013404562</v>
      </c>
      <c r="AO159" s="10">
        <v>1624</v>
      </c>
      <c r="AQ159" s="12">
        <v>246</v>
      </c>
      <c r="AR159" s="2">
        <f>AR158+Tabla32037[[#This Row],[Incremento]]</f>
        <v>460618.22901953099</v>
      </c>
      <c r="AS159" s="2">
        <v>1624</v>
      </c>
      <c r="AU159" s="12">
        <v>246</v>
      </c>
      <c r="AV159" s="2">
        <f>AV158+Tabla32037[[#This Row],[Incremento]]</f>
        <v>651389.60438719997</v>
      </c>
      <c r="AW159" s="2">
        <v>1624</v>
      </c>
      <c r="AX159" s="2"/>
      <c r="AY159" s="12">
        <v>246</v>
      </c>
      <c r="AZ159" s="2">
        <f>AZ158+Tabla32037[[#This Row],[Incremento]]</f>
        <v>1845412.9533449123</v>
      </c>
      <c r="BA159" s="2">
        <v>1624</v>
      </c>
      <c r="BC159" s="12">
        <v>246</v>
      </c>
      <c r="BD159" s="2">
        <f>BD158+Tabla32037[[#This Row],[Incremento]]</f>
        <v>375199.20146240003</v>
      </c>
      <c r="BE159" s="2">
        <v>1624</v>
      </c>
    </row>
    <row r="160" spans="3:57" ht="17" customHeight="1" x14ac:dyDescent="0.2">
      <c r="C160" s="2"/>
      <c r="D160" s="2"/>
      <c r="F160" s="12">
        <v>247</v>
      </c>
      <c r="G160" s="2">
        <f>G159+Tabla32037[[#This Row],[Incremento]]</f>
        <v>481403.8228125</v>
      </c>
      <c r="H160" s="2">
        <v>1624</v>
      </c>
      <c r="J160" s="12">
        <v>247</v>
      </c>
      <c r="K160" s="2">
        <f>K159+Tabla32037[[#This Row],[Incremento]]</f>
        <v>481403.8228125</v>
      </c>
      <c r="L160" s="2">
        <v>1624</v>
      </c>
      <c r="N160" s="12">
        <v>247</v>
      </c>
      <c r="O160" s="2">
        <f>O159+Tabla32037[[#This Row],[Incremento]]</f>
        <v>395599.72655000002</v>
      </c>
      <c r="P160" s="2">
        <v>1624</v>
      </c>
      <c r="R160" s="12">
        <v>247</v>
      </c>
      <c r="S160" s="2">
        <f>S159+Tabla32037[[#This Row],[Incremento]]</f>
        <v>299503.3125</v>
      </c>
      <c r="T160" s="2">
        <v>1624</v>
      </c>
      <c r="V160" s="12">
        <v>247</v>
      </c>
      <c r="W160" s="2">
        <f>W159+Tabla32037[[#This Row],[Incremento]]</f>
        <v>827198.61494397931</v>
      </c>
      <c r="X160" s="2">
        <v>1624</v>
      </c>
      <c r="Y160" s="2"/>
      <c r="Z160" s="12">
        <v>247</v>
      </c>
      <c r="AA160" s="2">
        <f>AA159+Tabla32037[[#This Row],[Incremento]]</f>
        <v>356367.06790501636</v>
      </c>
      <c r="AB160" s="2">
        <v>1624</v>
      </c>
      <c r="AC160" s="2"/>
      <c r="AD160" s="12">
        <v>247</v>
      </c>
      <c r="AE160" s="2">
        <f>AE159+Tabla32037[[#This Row],[Incremento]]</f>
        <v>474006.13581003266</v>
      </c>
      <c r="AF160" s="2">
        <v>1624</v>
      </c>
      <c r="AH160" s="12">
        <v>247</v>
      </c>
      <c r="AI160" s="2">
        <f>AI159+Tabla32037[[#This Row],[Incremento]]</f>
        <v>474006.13581003266</v>
      </c>
      <c r="AJ160" s="2">
        <v>1624</v>
      </c>
      <c r="AM160" s="34">
        <v>247</v>
      </c>
      <c r="AN160" s="32">
        <f>AN159+Tabla32037[[#This Row],[Incremento]]</f>
        <v>568117.39013404562</v>
      </c>
      <c r="AO160" s="32">
        <v>1624</v>
      </c>
      <c r="AQ160" s="12">
        <v>247</v>
      </c>
      <c r="AR160" s="2">
        <f>AR159+Tabla32037[[#This Row],[Incremento]]</f>
        <v>462242.22901953099</v>
      </c>
      <c r="AS160" s="2">
        <v>1624</v>
      </c>
      <c r="AU160" s="12">
        <v>247</v>
      </c>
      <c r="AV160" s="2">
        <f>AV159+Tabla32037[[#This Row],[Incremento]]</f>
        <v>653013.60438719997</v>
      </c>
      <c r="AW160" s="2">
        <v>1624</v>
      </c>
      <c r="AX160" s="2"/>
      <c r="AY160" s="12">
        <v>247</v>
      </c>
      <c r="AZ160" s="2">
        <f>AZ159+Tabla32037[[#This Row],[Incremento]]</f>
        <v>1847036.9533449123</v>
      </c>
      <c r="BA160" s="2">
        <v>1624</v>
      </c>
      <c r="BC160" s="12">
        <v>247</v>
      </c>
      <c r="BD160" s="2">
        <f>BD159+Tabla32037[[#This Row],[Incremento]]</f>
        <v>376823.20146240003</v>
      </c>
      <c r="BE160" s="2">
        <v>1624</v>
      </c>
    </row>
    <row r="161" spans="3:57" ht="17" customHeight="1" x14ac:dyDescent="0.2">
      <c r="C161" s="2"/>
      <c r="D161" s="2"/>
      <c r="F161" s="12">
        <v>248</v>
      </c>
      <c r="G161" s="2">
        <f>G160+Tabla32037[[#This Row],[Incremento]]</f>
        <v>483027.8228125</v>
      </c>
      <c r="H161" s="2">
        <v>1624</v>
      </c>
      <c r="J161" s="12">
        <v>248</v>
      </c>
      <c r="K161" s="2">
        <f>K160+Tabla32037[[#This Row],[Incremento]]</f>
        <v>483027.8228125</v>
      </c>
      <c r="L161" s="2">
        <v>1624</v>
      </c>
      <c r="N161" s="12">
        <v>248</v>
      </c>
      <c r="O161" s="2">
        <f>O160+Tabla32037[[#This Row],[Incremento]]</f>
        <v>397223.72655000002</v>
      </c>
      <c r="P161" s="2">
        <v>1624</v>
      </c>
      <c r="R161" s="12">
        <v>248</v>
      </c>
      <c r="S161" s="2">
        <f>S160+Tabla32037[[#This Row],[Incremento]]</f>
        <v>301127.3125</v>
      </c>
      <c r="T161" s="2">
        <v>1624</v>
      </c>
      <c r="V161" s="12">
        <v>248</v>
      </c>
      <c r="W161" s="2">
        <f>W160+Tabla32037[[#This Row],[Incremento]]</f>
        <v>828822.61494397931</v>
      </c>
      <c r="X161" s="2">
        <v>1624</v>
      </c>
      <c r="Y161" s="2"/>
      <c r="Z161" s="12">
        <v>248</v>
      </c>
      <c r="AA161" s="2">
        <f>AA160+Tabla32037[[#This Row],[Incremento]]</f>
        <v>357991.06790501636</v>
      </c>
      <c r="AB161" s="2">
        <v>1624</v>
      </c>
      <c r="AC161" s="2"/>
      <c r="AD161" s="12">
        <v>248</v>
      </c>
      <c r="AE161" s="2">
        <f>AE160+Tabla32037[[#This Row],[Incremento]]</f>
        <v>475630.13581003266</v>
      </c>
      <c r="AF161" s="2">
        <v>1624</v>
      </c>
      <c r="AH161" s="12">
        <v>248</v>
      </c>
      <c r="AI161" s="2">
        <f>AI160+Tabla32037[[#This Row],[Incremento]]</f>
        <v>475630.13581003266</v>
      </c>
      <c r="AJ161" s="2">
        <v>1624</v>
      </c>
      <c r="AM161" s="35">
        <v>248</v>
      </c>
      <c r="AN161" s="10">
        <f>AN160+Tabla32037[[#This Row],[Incremento]]</f>
        <v>569741.39013404562</v>
      </c>
      <c r="AO161" s="10">
        <v>1624</v>
      </c>
      <c r="AQ161" s="12">
        <v>248</v>
      </c>
      <c r="AR161" s="2">
        <f>AR160+Tabla32037[[#This Row],[Incremento]]</f>
        <v>463866.22901953099</v>
      </c>
      <c r="AS161" s="2">
        <v>1624</v>
      </c>
      <c r="AU161" s="12">
        <v>248</v>
      </c>
      <c r="AV161" s="2">
        <f>AV160+Tabla32037[[#This Row],[Incremento]]</f>
        <v>654637.60438719997</v>
      </c>
      <c r="AW161" s="2">
        <v>1624</v>
      </c>
      <c r="AX161" s="2"/>
      <c r="AY161" s="12">
        <v>248</v>
      </c>
      <c r="AZ161" s="2">
        <f>AZ160+Tabla32037[[#This Row],[Incremento]]</f>
        <v>1848660.9533449123</v>
      </c>
      <c r="BA161" s="2">
        <v>1624</v>
      </c>
      <c r="BC161" s="12">
        <v>248</v>
      </c>
      <c r="BD161" s="2">
        <f>BD160+Tabla32037[[#This Row],[Incremento]]</f>
        <v>378447.20146240003</v>
      </c>
      <c r="BE161" s="2">
        <v>1624</v>
      </c>
    </row>
    <row r="162" spans="3:57" ht="17" customHeight="1" x14ac:dyDescent="0.2">
      <c r="C162" s="2"/>
      <c r="D162" s="2"/>
      <c r="F162" s="12">
        <v>249</v>
      </c>
      <c r="G162" s="2">
        <f>G161+Tabla32037[[#This Row],[Incremento]]</f>
        <v>484651.8228125</v>
      </c>
      <c r="H162" s="2">
        <v>1624</v>
      </c>
      <c r="J162" s="12">
        <v>249</v>
      </c>
      <c r="K162" s="2">
        <f>K161+Tabla32037[[#This Row],[Incremento]]</f>
        <v>484651.8228125</v>
      </c>
      <c r="L162" s="2">
        <v>1624</v>
      </c>
      <c r="N162" s="12">
        <v>249</v>
      </c>
      <c r="O162" s="2">
        <f>O161+Tabla32037[[#This Row],[Incremento]]</f>
        <v>398847.72655000002</v>
      </c>
      <c r="P162" s="2">
        <v>1624</v>
      </c>
      <c r="R162" s="12">
        <v>249</v>
      </c>
      <c r="S162" s="2">
        <f>S161+Tabla32037[[#This Row],[Incremento]]</f>
        <v>302751.3125</v>
      </c>
      <c r="T162" s="2">
        <v>1624</v>
      </c>
      <c r="V162" s="12">
        <v>249</v>
      </c>
      <c r="W162" s="2">
        <f>W161+Tabla32037[[#This Row],[Incremento]]</f>
        <v>830446.61494397931</v>
      </c>
      <c r="X162" s="2">
        <v>1624</v>
      </c>
      <c r="Y162" s="2"/>
      <c r="Z162" s="12">
        <v>249</v>
      </c>
      <c r="AA162" s="2">
        <f>AA161+Tabla32037[[#This Row],[Incremento]]</f>
        <v>359615.06790501636</v>
      </c>
      <c r="AB162" s="2">
        <v>1624</v>
      </c>
      <c r="AC162" s="2"/>
      <c r="AD162" s="12">
        <v>249</v>
      </c>
      <c r="AE162" s="2">
        <f>AE161+Tabla32037[[#This Row],[Incremento]]</f>
        <v>477254.13581003266</v>
      </c>
      <c r="AF162" s="2">
        <v>1624</v>
      </c>
      <c r="AH162" s="12">
        <v>249</v>
      </c>
      <c r="AI162" s="2">
        <f>AI161+Tabla32037[[#This Row],[Incremento]]</f>
        <v>477254.13581003266</v>
      </c>
      <c r="AJ162" s="2">
        <v>1624</v>
      </c>
      <c r="AM162" s="34">
        <v>249</v>
      </c>
      <c r="AN162" s="32">
        <f>AN161+Tabla32037[[#This Row],[Incremento]]</f>
        <v>571365.39013404562</v>
      </c>
      <c r="AO162" s="32">
        <v>1624</v>
      </c>
      <c r="AQ162" s="12">
        <v>249</v>
      </c>
      <c r="AR162" s="2">
        <f>AR161+Tabla32037[[#This Row],[Incremento]]</f>
        <v>465490.22901953099</v>
      </c>
      <c r="AS162" s="2">
        <v>1624</v>
      </c>
      <c r="AU162" s="12">
        <v>249</v>
      </c>
      <c r="AV162" s="2">
        <f>AV161+Tabla32037[[#This Row],[Incremento]]</f>
        <v>656261.60438719997</v>
      </c>
      <c r="AW162" s="2">
        <v>1624</v>
      </c>
      <c r="AX162" s="2"/>
      <c r="AY162" s="12">
        <v>249</v>
      </c>
      <c r="AZ162" s="2">
        <f>AZ161+Tabla32037[[#This Row],[Incremento]]</f>
        <v>1850284.9533449123</v>
      </c>
      <c r="BA162" s="2">
        <v>1624</v>
      </c>
      <c r="BC162" s="12">
        <v>249</v>
      </c>
      <c r="BD162" s="2">
        <f>BD161+Tabla32037[[#This Row],[Incremento]]</f>
        <v>380071.20146240003</v>
      </c>
      <c r="BE162" s="2">
        <v>1624</v>
      </c>
    </row>
    <row r="163" spans="3:57" ht="17" customHeight="1" x14ac:dyDescent="0.2">
      <c r="C163" s="2"/>
      <c r="D163" s="2"/>
      <c r="F163" s="12">
        <v>250</v>
      </c>
      <c r="G163" s="2">
        <f>G162+Tabla32037[[#This Row],[Incremento]]</f>
        <v>486275.8228125</v>
      </c>
      <c r="H163" s="2">
        <v>1624</v>
      </c>
      <c r="J163" s="12">
        <v>250</v>
      </c>
      <c r="K163" s="2">
        <f>K162+Tabla32037[[#This Row],[Incremento]]</f>
        <v>486275.8228125</v>
      </c>
      <c r="L163" s="2">
        <v>1624</v>
      </c>
      <c r="N163" s="12">
        <v>250</v>
      </c>
      <c r="O163" s="2">
        <f>O162+Tabla32037[[#This Row],[Incremento]]</f>
        <v>400471.72655000002</v>
      </c>
      <c r="P163" s="2">
        <v>1624</v>
      </c>
      <c r="R163" s="12">
        <v>250</v>
      </c>
      <c r="S163" s="2">
        <f>S162+Tabla32037[[#This Row],[Incremento]]</f>
        <v>304375.3125</v>
      </c>
      <c r="T163" s="2">
        <v>1624</v>
      </c>
      <c r="V163" s="12">
        <v>250</v>
      </c>
      <c r="W163" s="2">
        <f>W162+Tabla32037[[#This Row],[Incremento]]</f>
        <v>832070.61494397931</v>
      </c>
      <c r="X163" s="2">
        <v>1624</v>
      </c>
      <c r="Y163" s="2"/>
      <c r="Z163" s="12">
        <v>250</v>
      </c>
      <c r="AA163" s="2">
        <f>AA162+Tabla32037[[#This Row],[Incremento]]</f>
        <v>361239.06790501636</v>
      </c>
      <c r="AB163" s="2">
        <v>1624</v>
      </c>
      <c r="AC163" s="2"/>
      <c r="AD163" s="12">
        <v>250</v>
      </c>
      <c r="AE163" s="2">
        <f>AE162+Tabla32037[[#This Row],[Incremento]]</f>
        <v>478878.13581003266</v>
      </c>
      <c r="AF163" s="2">
        <v>1624</v>
      </c>
      <c r="AH163" s="12">
        <v>250</v>
      </c>
      <c r="AI163" s="2">
        <f>AI162+Tabla32037[[#This Row],[Incremento]]</f>
        <v>478878.13581003266</v>
      </c>
      <c r="AJ163" s="2">
        <v>1624</v>
      </c>
      <c r="AM163" s="35">
        <v>250</v>
      </c>
      <c r="AN163" s="10">
        <f>AN162+Tabla32037[[#This Row],[Incremento]]</f>
        <v>572989.39013404562</v>
      </c>
      <c r="AO163" s="10">
        <v>1624</v>
      </c>
      <c r="AQ163" s="12">
        <v>250</v>
      </c>
      <c r="AR163" s="2">
        <f>AR162+Tabla32037[[#This Row],[Incremento]]</f>
        <v>467114.22901953099</v>
      </c>
      <c r="AS163" s="2">
        <v>1624</v>
      </c>
      <c r="AU163" s="12">
        <v>250</v>
      </c>
      <c r="AV163" s="2">
        <f>AV162+Tabla32037[[#This Row],[Incremento]]</f>
        <v>657885.60438719997</v>
      </c>
      <c r="AW163" s="2">
        <v>1624</v>
      </c>
      <c r="AX163" s="2"/>
      <c r="AY163" s="12">
        <v>250</v>
      </c>
      <c r="AZ163" s="2">
        <f>AZ162+Tabla32037[[#This Row],[Incremento]]</f>
        <v>1851908.9533449123</v>
      </c>
      <c r="BA163" s="2">
        <v>1624</v>
      </c>
      <c r="BC163" s="12">
        <v>250</v>
      </c>
      <c r="BD163" s="2">
        <f>BD162+Tabla32037[[#This Row],[Incremento]]</f>
        <v>381695.20146240003</v>
      </c>
      <c r="BE163" s="2">
        <v>1624</v>
      </c>
    </row>
    <row r="164" spans="3:57" ht="17" customHeight="1" x14ac:dyDescent="0.2">
      <c r="C164" s="2"/>
      <c r="D164" s="2"/>
      <c r="F164" s="12">
        <v>251</v>
      </c>
      <c r="G164" s="2">
        <f>G163+Tabla32037[[#This Row],[Incremento]]</f>
        <v>487899.8228125</v>
      </c>
      <c r="H164" s="2">
        <v>1624</v>
      </c>
      <c r="J164" s="12">
        <v>251</v>
      </c>
      <c r="K164" s="2">
        <f>K163+Tabla32037[[#This Row],[Incremento]]</f>
        <v>487899.8228125</v>
      </c>
      <c r="L164" s="2">
        <v>1624</v>
      </c>
      <c r="N164" s="12">
        <v>251</v>
      </c>
      <c r="O164" s="2">
        <f>O163+Tabla32037[[#This Row],[Incremento]]</f>
        <v>402095.72655000002</v>
      </c>
      <c r="P164" s="2">
        <v>1624</v>
      </c>
      <c r="R164" s="12">
        <v>251</v>
      </c>
      <c r="S164" s="2">
        <f>S163+Tabla32037[[#This Row],[Incremento]]</f>
        <v>305999.3125</v>
      </c>
      <c r="T164" s="2">
        <v>1624</v>
      </c>
      <c r="V164" s="12">
        <v>251</v>
      </c>
      <c r="W164" s="2">
        <f>W163+Tabla32037[[#This Row],[Incremento]]</f>
        <v>833694.61494397931</v>
      </c>
      <c r="X164" s="2">
        <v>1624</v>
      </c>
      <c r="Y164" s="2"/>
      <c r="Z164" s="12">
        <v>251</v>
      </c>
      <c r="AA164" s="2">
        <f>AA163+Tabla32037[[#This Row],[Incremento]]</f>
        <v>362863.06790501636</v>
      </c>
      <c r="AB164" s="2">
        <v>1624</v>
      </c>
      <c r="AC164" s="2"/>
      <c r="AD164" s="12">
        <v>251</v>
      </c>
      <c r="AE164" s="2">
        <f>AE163+Tabla32037[[#This Row],[Incremento]]</f>
        <v>480502.13581003266</v>
      </c>
      <c r="AF164" s="2">
        <v>1624</v>
      </c>
      <c r="AH164" s="12">
        <v>251</v>
      </c>
      <c r="AI164" s="2">
        <f>AI163+Tabla32037[[#This Row],[Incremento]]</f>
        <v>480502.13581003266</v>
      </c>
      <c r="AJ164" s="2">
        <v>1624</v>
      </c>
      <c r="AM164" s="34">
        <v>251</v>
      </c>
      <c r="AN164" s="32">
        <f>AN163+Tabla32037[[#This Row],[Incremento]]</f>
        <v>574613.39013404562</v>
      </c>
      <c r="AO164" s="32">
        <v>1624</v>
      </c>
      <c r="AQ164" s="12">
        <v>251</v>
      </c>
      <c r="AR164" s="2">
        <f>AR163+Tabla32037[[#This Row],[Incremento]]</f>
        <v>468738.22901953099</v>
      </c>
      <c r="AS164" s="2">
        <v>1624</v>
      </c>
      <c r="AU164" s="12">
        <v>251</v>
      </c>
      <c r="AV164" s="2">
        <f>AV163+Tabla32037[[#This Row],[Incremento]]</f>
        <v>659509.60438719997</v>
      </c>
      <c r="AW164" s="2">
        <v>1624</v>
      </c>
      <c r="AX164" s="2"/>
      <c r="AY164" s="12">
        <v>251</v>
      </c>
      <c r="AZ164" s="2">
        <f>AZ163+Tabla32037[[#This Row],[Incremento]]</f>
        <v>1853532.9533449123</v>
      </c>
      <c r="BA164" s="2">
        <v>1624</v>
      </c>
      <c r="BC164" s="12">
        <v>251</v>
      </c>
      <c r="BD164" s="2">
        <f>BD163+Tabla32037[[#This Row],[Incremento]]</f>
        <v>383319.20146240003</v>
      </c>
      <c r="BE164" s="2">
        <v>1624</v>
      </c>
    </row>
    <row r="165" spans="3:57" ht="17" customHeight="1" x14ac:dyDescent="0.2">
      <c r="C165" s="2"/>
      <c r="D165" s="2"/>
      <c r="F165" s="12">
        <v>252</v>
      </c>
      <c r="G165" s="2">
        <f>G164+Tabla32037[[#This Row],[Incremento]]</f>
        <v>489523.8228125</v>
      </c>
      <c r="H165" s="2">
        <v>1624</v>
      </c>
      <c r="J165" s="12">
        <v>252</v>
      </c>
      <c r="K165" s="2">
        <f>K164+Tabla32037[[#This Row],[Incremento]]</f>
        <v>489523.8228125</v>
      </c>
      <c r="L165" s="2">
        <v>1624</v>
      </c>
      <c r="N165" s="12">
        <v>252</v>
      </c>
      <c r="O165" s="2">
        <f>O164+Tabla32037[[#This Row],[Incremento]]</f>
        <v>403719.72655000002</v>
      </c>
      <c r="P165" s="2">
        <v>1624</v>
      </c>
      <c r="R165" s="12">
        <v>252</v>
      </c>
      <c r="S165" s="2">
        <f>S164+Tabla32037[[#This Row],[Incremento]]</f>
        <v>307623.3125</v>
      </c>
      <c r="T165" s="2">
        <v>1624</v>
      </c>
      <c r="V165" s="12">
        <v>252</v>
      </c>
      <c r="W165" s="2">
        <f>W164+Tabla32037[[#This Row],[Incremento]]</f>
        <v>835318.61494397931</v>
      </c>
      <c r="X165" s="2">
        <v>1624</v>
      </c>
      <c r="Y165" s="2"/>
      <c r="Z165" s="12">
        <v>252</v>
      </c>
      <c r="AA165" s="2">
        <f>AA164+Tabla32037[[#This Row],[Incremento]]</f>
        <v>364487.06790501636</v>
      </c>
      <c r="AB165" s="2">
        <v>1624</v>
      </c>
      <c r="AC165" s="2"/>
      <c r="AD165" s="12">
        <v>252</v>
      </c>
      <c r="AE165" s="2">
        <f>AE164+Tabla32037[[#This Row],[Incremento]]</f>
        <v>482126.13581003266</v>
      </c>
      <c r="AF165" s="2">
        <v>1624</v>
      </c>
      <c r="AH165" s="12">
        <v>252</v>
      </c>
      <c r="AI165" s="2">
        <f>AI164+Tabla32037[[#This Row],[Incremento]]</f>
        <v>482126.13581003266</v>
      </c>
      <c r="AJ165" s="2">
        <v>1624</v>
      </c>
      <c r="AM165" s="35">
        <v>252</v>
      </c>
      <c r="AN165" s="10">
        <f>AN164+Tabla32037[[#This Row],[Incremento]]</f>
        <v>576237.39013404562</v>
      </c>
      <c r="AO165" s="10">
        <v>1624</v>
      </c>
      <c r="AQ165" s="12">
        <v>252</v>
      </c>
      <c r="AR165" s="2">
        <f>AR164+Tabla32037[[#This Row],[Incremento]]</f>
        <v>470362.22901953099</v>
      </c>
      <c r="AS165" s="2">
        <v>1624</v>
      </c>
      <c r="AU165" s="12">
        <v>252</v>
      </c>
      <c r="AV165" s="2">
        <f>AV164+Tabla32037[[#This Row],[Incremento]]</f>
        <v>661133.60438719997</v>
      </c>
      <c r="AW165" s="2">
        <v>1624</v>
      </c>
      <c r="AX165" s="2"/>
      <c r="AY165" s="12">
        <v>252</v>
      </c>
      <c r="AZ165" s="2">
        <f>AZ164+Tabla32037[[#This Row],[Incremento]]</f>
        <v>1855156.9533449123</v>
      </c>
      <c r="BA165" s="2">
        <v>1624</v>
      </c>
      <c r="BC165" s="12">
        <v>252</v>
      </c>
      <c r="BD165" s="2">
        <f>BD164+Tabla32037[[#This Row],[Incremento]]</f>
        <v>384943.20146240003</v>
      </c>
      <c r="BE165" s="2">
        <v>1624</v>
      </c>
    </row>
    <row r="166" spans="3:57" ht="17" customHeight="1" x14ac:dyDescent="0.2">
      <c r="C166" s="2"/>
      <c r="D166" s="2"/>
      <c r="F166" s="12">
        <v>253</v>
      </c>
      <c r="G166" s="2">
        <f>G165+Tabla32037[[#This Row],[Incremento]]</f>
        <v>491147.8228125</v>
      </c>
      <c r="H166" s="2">
        <v>1624</v>
      </c>
      <c r="J166" s="12">
        <v>253</v>
      </c>
      <c r="K166" s="2">
        <f>K165+Tabla32037[[#This Row],[Incremento]]</f>
        <v>491147.8228125</v>
      </c>
      <c r="L166" s="2">
        <v>1624</v>
      </c>
      <c r="N166" s="12">
        <v>253</v>
      </c>
      <c r="O166" s="2">
        <f>O165+Tabla32037[[#This Row],[Incremento]]</f>
        <v>405343.72655000002</v>
      </c>
      <c r="P166" s="2">
        <v>1624</v>
      </c>
      <c r="R166" s="12">
        <v>253</v>
      </c>
      <c r="S166" s="2">
        <f>S165+Tabla32037[[#This Row],[Incremento]]</f>
        <v>309247.3125</v>
      </c>
      <c r="T166" s="2">
        <v>1624</v>
      </c>
      <c r="V166" s="12">
        <v>253</v>
      </c>
      <c r="W166" s="2">
        <f>W165+Tabla32037[[#This Row],[Incremento]]</f>
        <v>836942.61494397931</v>
      </c>
      <c r="X166" s="2">
        <v>1624</v>
      </c>
      <c r="Y166" s="2"/>
      <c r="Z166" s="12">
        <v>253</v>
      </c>
      <c r="AA166" s="2">
        <f>AA165+Tabla32037[[#This Row],[Incremento]]</f>
        <v>366111.06790501636</v>
      </c>
      <c r="AB166" s="2">
        <v>1624</v>
      </c>
      <c r="AC166" s="2"/>
      <c r="AD166" s="12">
        <v>253</v>
      </c>
      <c r="AE166" s="2">
        <f>AE165+Tabla32037[[#This Row],[Incremento]]</f>
        <v>483750.13581003266</v>
      </c>
      <c r="AF166" s="2">
        <v>1624</v>
      </c>
      <c r="AH166" s="12">
        <v>253</v>
      </c>
      <c r="AI166" s="2">
        <f>AI165+Tabla32037[[#This Row],[Incremento]]</f>
        <v>483750.13581003266</v>
      </c>
      <c r="AJ166" s="2">
        <v>1624</v>
      </c>
      <c r="AM166" s="34">
        <v>253</v>
      </c>
      <c r="AN166" s="32">
        <f>AN165+Tabla32037[[#This Row],[Incremento]]</f>
        <v>577861.39013404562</v>
      </c>
      <c r="AO166" s="32">
        <v>1624</v>
      </c>
      <c r="AQ166" s="12">
        <v>253</v>
      </c>
      <c r="AR166" s="2">
        <f>AR165+Tabla32037[[#This Row],[Incremento]]</f>
        <v>471986.22901953099</v>
      </c>
      <c r="AS166" s="2">
        <v>1624</v>
      </c>
      <c r="AU166" s="12">
        <v>253</v>
      </c>
      <c r="AV166" s="2">
        <f>AV165+Tabla32037[[#This Row],[Incremento]]</f>
        <v>662757.60438719997</v>
      </c>
      <c r="AW166" s="2">
        <v>1624</v>
      </c>
      <c r="AX166" s="2"/>
      <c r="AY166" s="12">
        <v>253</v>
      </c>
      <c r="AZ166" s="2">
        <f>AZ165+Tabla32037[[#This Row],[Incremento]]</f>
        <v>1856780.9533449123</v>
      </c>
      <c r="BA166" s="2">
        <v>1624</v>
      </c>
      <c r="BC166" s="12">
        <v>253</v>
      </c>
      <c r="BD166" s="2">
        <f>BD165+Tabla32037[[#This Row],[Incremento]]</f>
        <v>386567.20146240003</v>
      </c>
      <c r="BE166" s="2">
        <v>1624</v>
      </c>
    </row>
    <row r="167" spans="3:57" ht="17" customHeight="1" x14ac:dyDescent="0.2">
      <c r="C167" s="2"/>
      <c r="D167" s="2"/>
      <c r="F167" s="12">
        <v>254</v>
      </c>
      <c r="G167" s="2">
        <f>G166+Tabla32037[[#This Row],[Incremento]]</f>
        <v>492771.8228125</v>
      </c>
      <c r="H167" s="2">
        <v>1624</v>
      </c>
      <c r="J167" s="12">
        <v>254</v>
      </c>
      <c r="K167" s="2">
        <f>K166+Tabla32037[[#This Row],[Incremento]]</f>
        <v>492771.8228125</v>
      </c>
      <c r="L167" s="2">
        <v>1624</v>
      </c>
      <c r="N167" s="12">
        <v>254</v>
      </c>
      <c r="O167" s="2">
        <f>O166+Tabla32037[[#This Row],[Incremento]]</f>
        <v>406967.72655000002</v>
      </c>
      <c r="P167" s="2">
        <v>1624</v>
      </c>
      <c r="R167" s="12">
        <v>254</v>
      </c>
      <c r="S167" s="2">
        <f>S166+Tabla32037[[#This Row],[Incremento]]</f>
        <v>310871.3125</v>
      </c>
      <c r="T167" s="2">
        <v>1624</v>
      </c>
      <c r="V167" s="12">
        <v>254</v>
      </c>
      <c r="W167" s="2">
        <f>W166+Tabla32037[[#This Row],[Incremento]]</f>
        <v>838566.61494397931</v>
      </c>
      <c r="X167" s="2">
        <v>1624</v>
      </c>
      <c r="Y167" s="2"/>
      <c r="Z167" s="12">
        <v>254</v>
      </c>
      <c r="AA167" s="2">
        <f>AA166+Tabla32037[[#This Row],[Incremento]]</f>
        <v>367735.06790501636</v>
      </c>
      <c r="AB167" s="2">
        <v>1624</v>
      </c>
      <c r="AC167" s="2"/>
      <c r="AD167" s="12">
        <v>254</v>
      </c>
      <c r="AE167" s="2">
        <f>AE166+Tabla32037[[#This Row],[Incremento]]</f>
        <v>485374.13581003266</v>
      </c>
      <c r="AF167" s="2">
        <v>1624</v>
      </c>
      <c r="AH167" s="12">
        <v>254</v>
      </c>
      <c r="AI167" s="2">
        <f>AI166+Tabla32037[[#This Row],[Incremento]]</f>
        <v>485374.13581003266</v>
      </c>
      <c r="AJ167" s="2">
        <v>1624</v>
      </c>
      <c r="AM167" s="35">
        <v>254</v>
      </c>
      <c r="AN167" s="10">
        <f>AN166+Tabla32037[[#This Row],[Incremento]]</f>
        <v>579485.39013404562</v>
      </c>
      <c r="AO167" s="10">
        <v>1624</v>
      </c>
      <c r="AQ167" s="12">
        <v>254</v>
      </c>
      <c r="AR167" s="2">
        <f>AR166+Tabla32037[[#This Row],[Incremento]]</f>
        <v>473610.22901953099</v>
      </c>
      <c r="AS167" s="2">
        <v>1624</v>
      </c>
      <c r="AU167" s="12">
        <v>254</v>
      </c>
      <c r="AV167" s="2">
        <f>AV166+Tabla32037[[#This Row],[Incremento]]</f>
        <v>664381.60438719997</v>
      </c>
      <c r="AW167" s="2">
        <v>1624</v>
      </c>
      <c r="AX167" s="2"/>
      <c r="AY167" s="12">
        <v>254</v>
      </c>
      <c r="AZ167" s="2">
        <f>AZ166+Tabla32037[[#This Row],[Incremento]]</f>
        <v>1858404.9533449123</v>
      </c>
      <c r="BA167" s="2">
        <v>1624</v>
      </c>
      <c r="BC167" s="12">
        <v>254</v>
      </c>
      <c r="BD167" s="2">
        <f>BD166+Tabla32037[[#This Row],[Incremento]]</f>
        <v>388191.20146240003</v>
      </c>
      <c r="BE167" s="2">
        <v>1624</v>
      </c>
    </row>
    <row r="168" spans="3:57" ht="17" customHeight="1" x14ac:dyDescent="0.2">
      <c r="C168" s="2"/>
      <c r="D168" s="2"/>
      <c r="F168" s="12">
        <v>255</v>
      </c>
      <c r="G168" s="2">
        <f>G167+Tabla32037[[#This Row],[Incremento]]</f>
        <v>494395.8228125</v>
      </c>
      <c r="H168" s="2">
        <v>1624</v>
      </c>
      <c r="J168" s="12">
        <v>255</v>
      </c>
      <c r="K168" s="2">
        <f>K167+Tabla32037[[#This Row],[Incremento]]</f>
        <v>494395.8228125</v>
      </c>
      <c r="L168" s="2">
        <v>1624</v>
      </c>
      <c r="N168" s="12">
        <v>255</v>
      </c>
      <c r="O168" s="2">
        <f>O167+Tabla32037[[#This Row],[Incremento]]</f>
        <v>408591.72655000002</v>
      </c>
      <c r="P168" s="2">
        <v>1624</v>
      </c>
      <c r="R168" s="12">
        <v>255</v>
      </c>
      <c r="S168" s="2">
        <f>S167+Tabla32037[[#This Row],[Incremento]]</f>
        <v>312495.3125</v>
      </c>
      <c r="T168" s="2">
        <v>1624</v>
      </c>
      <c r="V168" s="12">
        <v>255</v>
      </c>
      <c r="W168" s="2">
        <f>W167+Tabla32037[[#This Row],[Incremento]]</f>
        <v>840190.61494397931</v>
      </c>
      <c r="X168" s="2">
        <v>1624</v>
      </c>
      <c r="Y168" s="2"/>
      <c r="Z168" s="12">
        <v>255</v>
      </c>
      <c r="AA168" s="2">
        <f>AA167+Tabla32037[[#This Row],[Incremento]]</f>
        <v>369359.06790501636</v>
      </c>
      <c r="AB168" s="2">
        <v>1624</v>
      </c>
      <c r="AC168" s="2"/>
      <c r="AD168" s="12">
        <v>255</v>
      </c>
      <c r="AE168" s="2">
        <f>AE167+Tabla32037[[#This Row],[Incremento]]</f>
        <v>486998.13581003266</v>
      </c>
      <c r="AF168" s="2">
        <v>1624</v>
      </c>
      <c r="AH168" s="12">
        <v>255</v>
      </c>
      <c r="AI168" s="2">
        <f>AI167+Tabla32037[[#This Row],[Incremento]]</f>
        <v>486998.13581003266</v>
      </c>
      <c r="AJ168" s="2">
        <v>1624</v>
      </c>
      <c r="AM168" s="34">
        <v>255</v>
      </c>
      <c r="AN168" s="32">
        <f>AN167+Tabla32037[[#This Row],[Incremento]]</f>
        <v>581109.39013404562</v>
      </c>
      <c r="AO168" s="32">
        <v>1624</v>
      </c>
      <c r="AQ168" s="12">
        <v>255</v>
      </c>
      <c r="AR168" s="2">
        <f>AR167+Tabla32037[[#This Row],[Incremento]]</f>
        <v>475234.22901953099</v>
      </c>
      <c r="AS168" s="2">
        <v>1624</v>
      </c>
      <c r="AU168" s="12">
        <v>255</v>
      </c>
      <c r="AV168" s="2">
        <f>AV167+Tabla32037[[#This Row],[Incremento]]</f>
        <v>666005.60438719997</v>
      </c>
      <c r="AW168" s="2">
        <v>1624</v>
      </c>
      <c r="AX168" s="2"/>
      <c r="AY168" s="12">
        <v>255</v>
      </c>
      <c r="AZ168" s="2">
        <f>AZ167+Tabla32037[[#This Row],[Incremento]]</f>
        <v>1860028.9533449123</v>
      </c>
      <c r="BA168" s="2">
        <v>1624</v>
      </c>
      <c r="BC168" s="12">
        <v>255</v>
      </c>
      <c r="BD168" s="2">
        <f>BD167+Tabla32037[[#This Row],[Incremento]]</f>
        <v>389815.20146240003</v>
      </c>
      <c r="BE168" s="2">
        <v>1624</v>
      </c>
    </row>
    <row r="169" spans="3:57" ht="17" customHeight="1" x14ac:dyDescent="0.2">
      <c r="C169" s="2"/>
      <c r="D169" s="2"/>
      <c r="F169" s="12">
        <v>256</v>
      </c>
      <c r="G169" s="2">
        <f>G168+Tabla32037[[#This Row],[Incremento]]</f>
        <v>496019.8228125</v>
      </c>
      <c r="H169" s="2">
        <v>1624</v>
      </c>
      <c r="J169" s="12">
        <v>256</v>
      </c>
      <c r="K169" s="2">
        <f>K168+Tabla32037[[#This Row],[Incremento]]</f>
        <v>496019.8228125</v>
      </c>
      <c r="L169" s="2">
        <v>1624</v>
      </c>
      <c r="N169" s="12">
        <v>256</v>
      </c>
      <c r="O169" s="2">
        <f>O168+Tabla32037[[#This Row],[Incremento]]</f>
        <v>410215.72655000002</v>
      </c>
      <c r="P169" s="2">
        <v>1624</v>
      </c>
      <c r="R169" s="12">
        <v>256</v>
      </c>
      <c r="S169" s="2">
        <f>S168+Tabla32037[[#This Row],[Incremento]]</f>
        <v>314119.3125</v>
      </c>
      <c r="T169" s="2">
        <v>1624</v>
      </c>
      <c r="V169" s="12">
        <v>256</v>
      </c>
      <c r="W169" s="2">
        <f>W168+Tabla32037[[#This Row],[Incremento]]</f>
        <v>841814.61494397931</v>
      </c>
      <c r="X169" s="2">
        <v>1624</v>
      </c>
      <c r="Y169" s="2"/>
      <c r="Z169" s="12">
        <v>256</v>
      </c>
      <c r="AA169" s="2">
        <f>AA168+Tabla32037[[#This Row],[Incremento]]</f>
        <v>370983.06790501636</v>
      </c>
      <c r="AB169" s="2">
        <v>1624</v>
      </c>
      <c r="AC169" s="2"/>
      <c r="AD169" s="12">
        <v>256</v>
      </c>
      <c r="AE169" s="2">
        <f>AE168+Tabla32037[[#This Row],[Incremento]]</f>
        <v>488622.13581003266</v>
      </c>
      <c r="AF169" s="2">
        <v>1624</v>
      </c>
      <c r="AH169" s="12">
        <v>256</v>
      </c>
      <c r="AI169" s="2">
        <f>AI168+Tabla32037[[#This Row],[Incremento]]</f>
        <v>488622.13581003266</v>
      </c>
      <c r="AJ169" s="2">
        <v>1624</v>
      </c>
      <c r="AM169" s="35">
        <v>256</v>
      </c>
      <c r="AN169" s="10">
        <f>AN168+Tabla32037[[#This Row],[Incremento]]</f>
        <v>582733.39013404562</v>
      </c>
      <c r="AO169" s="10">
        <v>1624</v>
      </c>
      <c r="AQ169" s="12">
        <v>256</v>
      </c>
      <c r="AR169" s="2">
        <f>AR168+Tabla32037[[#This Row],[Incremento]]</f>
        <v>476858.22901953099</v>
      </c>
      <c r="AS169" s="2">
        <v>1624</v>
      </c>
      <c r="AU169" s="12">
        <v>256</v>
      </c>
      <c r="AV169" s="2">
        <f>AV168+Tabla32037[[#This Row],[Incremento]]</f>
        <v>667629.60438719997</v>
      </c>
      <c r="AW169" s="2">
        <v>1624</v>
      </c>
      <c r="AX169" s="2"/>
      <c r="AY169" s="12">
        <v>256</v>
      </c>
      <c r="AZ169" s="2">
        <f>AZ168+Tabla32037[[#This Row],[Incremento]]</f>
        <v>1861652.9533449123</v>
      </c>
      <c r="BA169" s="2">
        <v>1624</v>
      </c>
      <c r="BC169" s="12">
        <v>256</v>
      </c>
      <c r="BD169" s="2">
        <f>BD168+Tabla32037[[#This Row],[Incremento]]</f>
        <v>391439.20146240003</v>
      </c>
      <c r="BE169" s="2">
        <v>1624</v>
      </c>
    </row>
    <row r="170" spans="3:57" ht="17" customHeight="1" x14ac:dyDescent="0.2">
      <c r="C170" s="2"/>
      <c r="D170" s="2"/>
      <c r="F170" s="12">
        <v>257</v>
      </c>
      <c r="G170" s="2">
        <f>G169+Tabla32037[[#This Row],[Incremento]]</f>
        <v>497643.8228125</v>
      </c>
      <c r="H170" s="2">
        <v>1624</v>
      </c>
      <c r="J170" s="12">
        <v>257</v>
      </c>
      <c r="K170" s="2">
        <f>K169+Tabla32037[[#This Row],[Incremento]]</f>
        <v>497643.8228125</v>
      </c>
      <c r="L170" s="2">
        <v>1624</v>
      </c>
      <c r="N170" s="12">
        <v>257</v>
      </c>
      <c r="O170" s="2">
        <f>O169+Tabla32037[[#This Row],[Incremento]]</f>
        <v>411839.72655000002</v>
      </c>
      <c r="P170" s="2">
        <v>1624</v>
      </c>
      <c r="R170" s="12">
        <v>257</v>
      </c>
      <c r="S170" s="2">
        <f>S169+Tabla32037[[#This Row],[Incremento]]</f>
        <v>315743.3125</v>
      </c>
      <c r="T170" s="2">
        <v>1624</v>
      </c>
      <c r="V170" s="12">
        <v>257</v>
      </c>
      <c r="W170" s="2">
        <f>W169+Tabla32037[[#This Row],[Incremento]]</f>
        <v>843438.61494397931</v>
      </c>
      <c r="X170" s="2">
        <v>1624</v>
      </c>
      <c r="Y170" s="2"/>
      <c r="Z170" s="12">
        <v>257</v>
      </c>
      <c r="AA170" s="2">
        <f>AA169+Tabla32037[[#This Row],[Incremento]]</f>
        <v>372607.06790501636</v>
      </c>
      <c r="AB170" s="2">
        <v>1624</v>
      </c>
      <c r="AC170" s="2"/>
      <c r="AD170" s="12">
        <v>257</v>
      </c>
      <c r="AE170" s="2">
        <f>AE169+Tabla32037[[#This Row],[Incremento]]</f>
        <v>490246.13581003266</v>
      </c>
      <c r="AF170" s="2">
        <v>1624</v>
      </c>
      <c r="AH170" s="12">
        <v>257</v>
      </c>
      <c r="AI170" s="2">
        <f>AI169+Tabla32037[[#This Row],[Incremento]]</f>
        <v>490246.13581003266</v>
      </c>
      <c r="AJ170" s="2">
        <v>1624</v>
      </c>
      <c r="AM170" s="34">
        <v>257</v>
      </c>
      <c r="AN170" s="32">
        <f>AN169+Tabla32037[[#This Row],[Incremento]]</f>
        <v>584357.39013404562</v>
      </c>
      <c r="AO170" s="32">
        <v>1624</v>
      </c>
      <c r="AQ170" s="12">
        <v>257</v>
      </c>
      <c r="AR170" s="2">
        <f>AR169+Tabla32037[[#This Row],[Incremento]]</f>
        <v>478482.22901953099</v>
      </c>
      <c r="AS170" s="2">
        <v>1624</v>
      </c>
      <c r="AU170" s="12">
        <v>257</v>
      </c>
      <c r="AV170" s="2">
        <f>AV169+Tabla32037[[#This Row],[Incremento]]</f>
        <v>669253.60438719997</v>
      </c>
      <c r="AW170" s="2">
        <v>1624</v>
      </c>
      <c r="AX170" s="2"/>
      <c r="AY170" s="12">
        <v>257</v>
      </c>
      <c r="AZ170" s="2">
        <f>AZ169+Tabla32037[[#This Row],[Incremento]]</f>
        <v>1863276.9533449123</v>
      </c>
      <c r="BA170" s="2">
        <v>1624</v>
      </c>
      <c r="BC170" s="12">
        <v>257</v>
      </c>
      <c r="BD170" s="2">
        <f>BD169+Tabla32037[[#This Row],[Incremento]]</f>
        <v>393063.20146240003</v>
      </c>
      <c r="BE170" s="2">
        <v>1624</v>
      </c>
    </row>
    <row r="171" spans="3:57" ht="17" customHeight="1" x14ac:dyDescent="0.2">
      <c r="C171" s="2"/>
      <c r="D171" s="2"/>
      <c r="F171" s="12">
        <v>258</v>
      </c>
      <c r="G171" s="2">
        <f>G170+Tabla32037[[#This Row],[Incremento]]</f>
        <v>499267.8228125</v>
      </c>
      <c r="H171" s="2">
        <v>1624</v>
      </c>
      <c r="J171" s="12">
        <v>258</v>
      </c>
      <c r="K171" s="2">
        <f>K170+Tabla32037[[#This Row],[Incremento]]</f>
        <v>499267.8228125</v>
      </c>
      <c r="L171" s="2">
        <v>1624</v>
      </c>
      <c r="N171" s="12">
        <v>258</v>
      </c>
      <c r="O171" s="2">
        <f>O170+Tabla32037[[#This Row],[Incremento]]</f>
        <v>413463.72655000002</v>
      </c>
      <c r="P171" s="2">
        <v>1624</v>
      </c>
      <c r="R171" s="12">
        <v>258</v>
      </c>
      <c r="S171" s="2">
        <f>S170+Tabla32037[[#This Row],[Incremento]]</f>
        <v>317367.3125</v>
      </c>
      <c r="T171" s="2">
        <v>1624</v>
      </c>
      <c r="V171" s="12">
        <v>258</v>
      </c>
      <c r="W171" s="2">
        <f>W170+Tabla32037[[#This Row],[Incremento]]</f>
        <v>845062.61494397931</v>
      </c>
      <c r="X171" s="2">
        <v>1624</v>
      </c>
      <c r="Y171" s="2"/>
      <c r="Z171" s="12">
        <v>258</v>
      </c>
      <c r="AA171" s="2">
        <f>AA170+Tabla32037[[#This Row],[Incremento]]</f>
        <v>374231.06790501636</v>
      </c>
      <c r="AB171" s="2">
        <v>1624</v>
      </c>
      <c r="AC171" s="2"/>
      <c r="AD171" s="12">
        <v>258</v>
      </c>
      <c r="AE171" s="2">
        <f>AE170+Tabla32037[[#This Row],[Incremento]]</f>
        <v>491870.13581003266</v>
      </c>
      <c r="AF171" s="2">
        <v>1624</v>
      </c>
      <c r="AH171" s="12">
        <v>258</v>
      </c>
      <c r="AI171" s="2">
        <f>AI170+Tabla32037[[#This Row],[Incremento]]</f>
        <v>491870.13581003266</v>
      </c>
      <c r="AJ171" s="2">
        <v>1624</v>
      </c>
      <c r="AM171" s="35">
        <v>258</v>
      </c>
      <c r="AN171" s="10">
        <f>AN170+Tabla32037[[#This Row],[Incremento]]</f>
        <v>585981.39013404562</v>
      </c>
      <c r="AO171" s="10">
        <v>1624</v>
      </c>
      <c r="AQ171" s="12">
        <v>258</v>
      </c>
      <c r="AR171" s="2">
        <f>AR170+Tabla32037[[#This Row],[Incremento]]</f>
        <v>480106.22901953099</v>
      </c>
      <c r="AS171" s="2">
        <v>1624</v>
      </c>
      <c r="AU171" s="12">
        <v>258</v>
      </c>
      <c r="AV171" s="2">
        <f>AV170+Tabla32037[[#This Row],[Incremento]]</f>
        <v>670877.60438719997</v>
      </c>
      <c r="AW171" s="2">
        <v>1624</v>
      </c>
      <c r="AX171" s="2"/>
      <c r="AY171" s="12">
        <v>258</v>
      </c>
      <c r="AZ171" s="2">
        <f>AZ170+Tabla32037[[#This Row],[Incremento]]</f>
        <v>1864900.9533449123</v>
      </c>
      <c r="BA171" s="2">
        <v>1624</v>
      </c>
      <c r="BC171" s="12">
        <v>258</v>
      </c>
      <c r="BD171" s="2">
        <f>BD170+Tabla32037[[#This Row],[Incremento]]</f>
        <v>394687.20146240003</v>
      </c>
      <c r="BE171" s="2">
        <v>1624</v>
      </c>
    </row>
    <row r="172" spans="3:57" ht="17" customHeight="1" x14ac:dyDescent="0.2">
      <c r="C172" s="2"/>
      <c r="D172" s="2"/>
      <c r="F172" s="12">
        <v>259</v>
      </c>
      <c r="G172" s="2">
        <f>G171+Tabla32037[[#This Row],[Incremento]]</f>
        <v>500891.8228125</v>
      </c>
      <c r="H172" s="2">
        <v>1624</v>
      </c>
      <c r="J172" s="12">
        <v>259</v>
      </c>
      <c r="K172" s="2">
        <f>K171+Tabla32037[[#This Row],[Incremento]]</f>
        <v>500891.8228125</v>
      </c>
      <c r="L172" s="2">
        <v>1624</v>
      </c>
      <c r="N172" s="12">
        <v>259</v>
      </c>
      <c r="O172" s="2">
        <f>O171+Tabla32037[[#This Row],[Incremento]]</f>
        <v>415087.72655000002</v>
      </c>
      <c r="P172" s="2">
        <v>1624</v>
      </c>
      <c r="R172" s="12">
        <v>259</v>
      </c>
      <c r="S172" s="2">
        <f>S171+Tabla32037[[#This Row],[Incremento]]</f>
        <v>318991.3125</v>
      </c>
      <c r="T172" s="2">
        <v>1624</v>
      </c>
      <c r="V172" s="12">
        <v>259</v>
      </c>
      <c r="W172" s="2">
        <f>W171+Tabla32037[[#This Row],[Incremento]]</f>
        <v>846686.61494397931</v>
      </c>
      <c r="X172" s="2">
        <v>1624</v>
      </c>
      <c r="Y172" s="2"/>
      <c r="Z172" s="12">
        <v>259</v>
      </c>
      <c r="AA172" s="2">
        <f>AA171+Tabla32037[[#This Row],[Incremento]]</f>
        <v>375855.06790501636</v>
      </c>
      <c r="AB172" s="2">
        <v>1624</v>
      </c>
      <c r="AC172" s="2"/>
      <c r="AD172" s="12">
        <v>259</v>
      </c>
      <c r="AE172" s="2">
        <f>AE171+Tabla32037[[#This Row],[Incremento]]</f>
        <v>493494.13581003266</v>
      </c>
      <c r="AF172" s="2">
        <v>1624</v>
      </c>
      <c r="AH172" s="12">
        <v>259</v>
      </c>
      <c r="AI172" s="2">
        <f>AI171+Tabla32037[[#This Row],[Incremento]]</f>
        <v>493494.13581003266</v>
      </c>
      <c r="AJ172" s="2">
        <v>1624</v>
      </c>
      <c r="AM172" s="34">
        <v>259</v>
      </c>
      <c r="AN172" s="32">
        <f>AN171+Tabla32037[[#This Row],[Incremento]]</f>
        <v>587605.39013404562</v>
      </c>
      <c r="AO172" s="32">
        <v>1624</v>
      </c>
      <c r="AQ172" s="12">
        <v>259</v>
      </c>
      <c r="AR172" s="2">
        <f>AR171+Tabla32037[[#This Row],[Incremento]]</f>
        <v>481730.22901953099</v>
      </c>
      <c r="AS172" s="2">
        <v>1624</v>
      </c>
      <c r="AU172" s="12">
        <v>259</v>
      </c>
      <c r="AV172" s="2">
        <f>AV171+Tabla32037[[#This Row],[Incremento]]</f>
        <v>672501.60438719997</v>
      </c>
      <c r="AW172" s="2">
        <v>1624</v>
      </c>
      <c r="AX172" s="2"/>
      <c r="AY172" s="12">
        <v>259</v>
      </c>
      <c r="AZ172" s="2">
        <f>AZ171+Tabla32037[[#This Row],[Incremento]]</f>
        <v>1866524.9533449123</v>
      </c>
      <c r="BA172" s="2">
        <v>1624</v>
      </c>
      <c r="BC172" s="12">
        <v>259</v>
      </c>
      <c r="BD172" s="2">
        <f>BD171+Tabla32037[[#This Row],[Incremento]]</f>
        <v>396311.20146240003</v>
      </c>
      <c r="BE172" s="2">
        <v>1624</v>
      </c>
    </row>
    <row r="173" spans="3:57" ht="17" customHeight="1" x14ac:dyDescent="0.2">
      <c r="C173" s="2"/>
      <c r="D173" s="2"/>
      <c r="F173" s="12">
        <v>260</v>
      </c>
      <c r="G173" s="2">
        <f>G172+Tabla32037[[#This Row],[Incremento]]</f>
        <v>502515.8228125</v>
      </c>
      <c r="H173" s="2">
        <v>1624</v>
      </c>
      <c r="J173" s="12">
        <v>260</v>
      </c>
      <c r="K173" s="2">
        <f>K172+Tabla32037[[#This Row],[Incremento]]</f>
        <v>502515.8228125</v>
      </c>
      <c r="L173" s="2">
        <v>1624</v>
      </c>
      <c r="N173" s="12">
        <v>260</v>
      </c>
      <c r="O173" s="2">
        <f>O172+Tabla32037[[#This Row],[Incremento]]</f>
        <v>416711.72655000002</v>
      </c>
      <c r="P173" s="2">
        <v>1624</v>
      </c>
      <c r="R173" s="12">
        <v>260</v>
      </c>
      <c r="S173" s="2">
        <f>S172+Tabla32037[[#This Row],[Incremento]]</f>
        <v>320615.3125</v>
      </c>
      <c r="T173" s="2">
        <v>1624</v>
      </c>
      <c r="V173" s="12">
        <v>260</v>
      </c>
      <c r="W173" s="2">
        <f>W172+Tabla32037[[#This Row],[Incremento]]</f>
        <v>848310.61494397931</v>
      </c>
      <c r="X173" s="2">
        <v>1624</v>
      </c>
      <c r="Y173" s="2"/>
      <c r="Z173" s="12">
        <v>260</v>
      </c>
      <c r="AA173" s="2">
        <f>AA172+Tabla32037[[#This Row],[Incremento]]</f>
        <v>377479.06790501636</v>
      </c>
      <c r="AB173" s="2">
        <v>1624</v>
      </c>
      <c r="AC173" s="2"/>
      <c r="AD173" s="12">
        <v>260</v>
      </c>
      <c r="AE173" s="2">
        <f>AE172+Tabla32037[[#This Row],[Incremento]]</f>
        <v>495118.13581003266</v>
      </c>
      <c r="AF173" s="2">
        <v>1624</v>
      </c>
      <c r="AH173" s="12">
        <v>260</v>
      </c>
      <c r="AI173" s="2">
        <f>AI172+Tabla32037[[#This Row],[Incremento]]</f>
        <v>495118.13581003266</v>
      </c>
      <c r="AJ173" s="2">
        <v>1624</v>
      </c>
      <c r="AM173" s="35">
        <v>260</v>
      </c>
      <c r="AN173" s="10">
        <f>AN172+Tabla32037[[#This Row],[Incremento]]</f>
        <v>589229.39013404562</v>
      </c>
      <c r="AO173" s="10">
        <v>1624</v>
      </c>
      <c r="AQ173" s="12">
        <v>260</v>
      </c>
      <c r="AR173" s="2">
        <f>AR172+Tabla32037[[#This Row],[Incremento]]</f>
        <v>483354.22901953099</v>
      </c>
      <c r="AS173" s="2">
        <v>1624</v>
      </c>
      <c r="AU173" s="12">
        <v>260</v>
      </c>
      <c r="AV173" s="2">
        <f>AV172+Tabla32037[[#This Row],[Incremento]]</f>
        <v>674125.60438719997</v>
      </c>
      <c r="AW173" s="2">
        <v>1624</v>
      </c>
      <c r="AX173" s="2"/>
      <c r="AY173" s="12">
        <v>260</v>
      </c>
      <c r="AZ173" s="2">
        <f>AZ172+Tabla32037[[#This Row],[Incremento]]</f>
        <v>1868148.9533449123</v>
      </c>
      <c r="BA173" s="2">
        <v>1624</v>
      </c>
      <c r="BC173" s="12">
        <v>260</v>
      </c>
      <c r="BD173" s="2">
        <f>BD172+Tabla32037[[#This Row],[Incremento]]</f>
        <v>397935.20146240003</v>
      </c>
      <c r="BE173" s="2">
        <v>1624</v>
      </c>
    </row>
    <row r="174" spans="3:57" ht="17" customHeight="1" x14ac:dyDescent="0.2">
      <c r="C174" s="2"/>
      <c r="D174" s="2"/>
      <c r="F174" s="12">
        <v>261</v>
      </c>
      <c r="G174" s="2">
        <f>G173+Tabla32037[[#This Row],[Incremento]]</f>
        <v>504139.8228125</v>
      </c>
      <c r="H174" s="2">
        <v>1624</v>
      </c>
      <c r="J174" s="12">
        <v>261</v>
      </c>
      <c r="K174" s="2">
        <f>K173+Tabla32037[[#This Row],[Incremento]]</f>
        <v>504139.8228125</v>
      </c>
      <c r="L174" s="2">
        <v>1624</v>
      </c>
      <c r="N174" s="12">
        <v>261</v>
      </c>
      <c r="O174" s="2">
        <f>O173+Tabla32037[[#This Row],[Incremento]]</f>
        <v>418335.72655000002</v>
      </c>
      <c r="P174" s="2">
        <v>1624</v>
      </c>
      <c r="R174" s="12">
        <v>261</v>
      </c>
      <c r="S174" s="2">
        <f>S173+Tabla32037[[#This Row],[Incremento]]</f>
        <v>322239.3125</v>
      </c>
      <c r="T174" s="2">
        <v>1624</v>
      </c>
      <c r="V174" s="12">
        <v>261</v>
      </c>
      <c r="W174" s="2">
        <f>W173+Tabla32037[[#This Row],[Incremento]]</f>
        <v>849934.61494397931</v>
      </c>
      <c r="X174" s="2">
        <v>1624</v>
      </c>
      <c r="Y174" s="2"/>
      <c r="Z174" s="12">
        <v>261</v>
      </c>
      <c r="AA174" s="2">
        <f>AA173+Tabla32037[[#This Row],[Incremento]]</f>
        <v>379103.06790501636</v>
      </c>
      <c r="AB174" s="2">
        <v>1624</v>
      </c>
      <c r="AC174" s="2"/>
      <c r="AD174" s="12">
        <v>261</v>
      </c>
      <c r="AE174" s="2">
        <f>AE173+Tabla32037[[#This Row],[Incremento]]</f>
        <v>496742.13581003266</v>
      </c>
      <c r="AF174" s="2">
        <v>1624</v>
      </c>
      <c r="AH174" s="12">
        <v>261</v>
      </c>
      <c r="AI174" s="2">
        <f>AI173+Tabla32037[[#This Row],[Incremento]]</f>
        <v>496742.13581003266</v>
      </c>
      <c r="AJ174" s="2">
        <v>1624</v>
      </c>
      <c r="AM174" s="34">
        <v>261</v>
      </c>
      <c r="AN174" s="32">
        <f>AN173+Tabla32037[[#This Row],[Incremento]]</f>
        <v>590853.39013404562</v>
      </c>
      <c r="AO174" s="32">
        <v>1624</v>
      </c>
      <c r="AQ174" s="12">
        <v>261</v>
      </c>
      <c r="AR174" s="2">
        <f>AR173+Tabla32037[[#This Row],[Incremento]]</f>
        <v>484978.22901953099</v>
      </c>
      <c r="AS174" s="2">
        <v>1624</v>
      </c>
      <c r="AU174" s="12">
        <v>261</v>
      </c>
      <c r="AV174" s="2">
        <f>AV173+Tabla32037[[#This Row],[Incremento]]</f>
        <v>675749.60438719997</v>
      </c>
      <c r="AW174" s="2">
        <v>1624</v>
      </c>
      <c r="AX174" s="2"/>
      <c r="AY174" s="12">
        <v>261</v>
      </c>
      <c r="AZ174" s="2">
        <f>AZ173+Tabla32037[[#This Row],[Incremento]]</f>
        <v>1869772.9533449123</v>
      </c>
      <c r="BA174" s="2">
        <v>1624</v>
      </c>
      <c r="BC174" s="12">
        <v>261</v>
      </c>
      <c r="BD174" s="2">
        <f>BD173+Tabla32037[[#This Row],[Incremento]]</f>
        <v>399559.20146240003</v>
      </c>
      <c r="BE174" s="2">
        <v>1624</v>
      </c>
    </row>
    <row r="175" spans="3:57" ht="17" customHeight="1" x14ac:dyDescent="0.2">
      <c r="C175" s="2"/>
      <c r="D175" s="2"/>
      <c r="F175" s="12">
        <v>262</v>
      </c>
      <c r="G175" s="2">
        <f>G174+Tabla32037[[#This Row],[Incremento]]</f>
        <v>505763.8228125</v>
      </c>
      <c r="H175" s="2">
        <v>1624</v>
      </c>
      <c r="J175" s="12">
        <v>262</v>
      </c>
      <c r="K175" s="2">
        <f>K174+Tabla32037[[#This Row],[Incremento]]</f>
        <v>505763.8228125</v>
      </c>
      <c r="L175" s="2">
        <v>1624</v>
      </c>
      <c r="N175" s="12">
        <v>262</v>
      </c>
      <c r="O175" s="2">
        <f>O174+Tabla32037[[#This Row],[Incremento]]</f>
        <v>419959.72655000002</v>
      </c>
      <c r="P175" s="2">
        <v>1624</v>
      </c>
      <c r="R175" s="12">
        <v>262</v>
      </c>
      <c r="S175" s="2">
        <f>S174+Tabla32037[[#This Row],[Incremento]]</f>
        <v>323863.3125</v>
      </c>
      <c r="T175" s="2">
        <v>1624</v>
      </c>
      <c r="V175" s="12">
        <v>262</v>
      </c>
      <c r="W175" s="2">
        <f>W174+Tabla32037[[#This Row],[Incremento]]</f>
        <v>851558.61494397931</v>
      </c>
      <c r="X175" s="2">
        <v>1624</v>
      </c>
      <c r="Y175" s="2"/>
      <c r="Z175" s="12">
        <v>262</v>
      </c>
      <c r="AA175" s="2">
        <f>AA174+Tabla32037[[#This Row],[Incremento]]</f>
        <v>380727.06790501636</v>
      </c>
      <c r="AB175" s="2">
        <v>1624</v>
      </c>
      <c r="AC175" s="2"/>
      <c r="AD175" s="12">
        <v>262</v>
      </c>
      <c r="AE175" s="2">
        <f>AE174+Tabla32037[[#This Row],[Incremento]]</f>
        <v>498366.13581003266</v>
      </c>
      <c r="AF175" s="2">
        <v>1624</v>
      </c>
      <c r="AH175" s="12">
        <v>262</v>
      </c>
      <c r="AI175" s="2">
        <f>AI174+Tabla32037[[#This Row],[Incremento]]</f>
        <v>498366.13581003266</v>
      </c>
      <c r="AJ175" s="2">
        <v>1624</v>
      </c>
      <c r="AM175" s="35">
        <v>262</v>
      </c>
      <c r="AN175" s="10">
        <f>AN174+Tabla32037[[#This Row],[Incremento]]</f>
        <v>592477.39013404562</v>
      </c>
      <c r="AO175" s="10">
        <v>1624</v>
      </c>
      <c r="AQ175" s="12">
        <v>262</v>
      </c>
      <c r="AR175" s="2">
        <f>AR174+Tabla32037[[#This Row],[Incremento]]</f>
        <v>486602.22901953099</v>
      </c>
      <c r="AS175" s="2">
        <v>1624</v>
      </c>
      <c r="AU175" s="12">
        <v>262</v>
      </c>
      <c r="AV175" s="2">
        <f>AV174+Tabla32037[[#This Row],[Incremento]]</f>
        <v>677373.60438719997</v>
      </c>
      <c r="AW175" s="2">
        <v>1624</v>
      </c>
      <c r="AX175" s="2"/>
      <c r="AY175" s="12">
        <v>262</v>
      </c>
      <c r="AZ175" s="2">
        <f>AZ174+Tabla32037[[#This Row],[Incremento]]</f>
        <v>1871396.9533449123</v>
      </c>
      <c r="BA175" s="2">
        <v>1624</v>
      </c>
      <c r="BC175" s="12">
        <v>262</v>
      </c>
      <c r="BD175" s="2">
        <f>BD174+Tabla32037[[#This Row],[Incremento]]</f>
        <v>401183.20146240003</v>
      </c>
      <c r="BE175" s="2">
        <v>1624</v>
      </c>
    </row>
    <row r="176" spans="3:57" ht="17" customHeight="1" x14ac:dyDescent="0.2">
      <c r="C176" s="2"/>
      <c r="D176" s="2"/>
      <c r="F176" s="12">
        <v>263</v>
      </c>
      <c r="G176" s="2">
        <f>G175+Tabla32037[[#This Row],[Incremento]]</f>
        <v>507387.8228125</v>
      </c>
      <c r="H176" s="2">
        <v>1624</v>
      </c>
      <c r="J176" s="12">
        <v>263</v>
      </c>
      <c r="K176" s="2">
        <f>K175+Tabla32037[[#This Row],[Incremento]]</f>
        <v>507387.8228125</v>
      </c>
      <c r="L176" s="2">
        <v>1624</v>
      </c>
      <c r="N176" s="12">
        <v>263</v>
      </c>
      <c r="O176" s="2">
        <f>O175+Tabla32037[[#This Row],[Incremento]]</f>
        <v>421583.72655000002</v>
      </c>
      <c r="P176" s="2">
        <v>1624</v>
      </c>
      <c r="R176" s="12">
        <v>263</v>
      </c>
      <c r="S176" s="2">
        <f>S175+Tabla32037[[#This Row],[Incremento]]</f>
        <v>325487.3125</v>
      </c>
      <c r="T176" s="2">
        <v>1624</v>
      </c>
      <c r="V176" s="12">
        <v>263</v>
      </c>
      <c r="W176" s="2">
        <f>W175+Tabla32037[[#This Row],[Incremento]]</f>
        <v>853182.61494397931</v>
      </c>
      <c r="X176" s="2">
        <v>1624</v>
      </c>
      <c r="Y176" s="2"/>
      <c r="Z176" s="12">
        <v>263</v>
      </c>
      <c r="AA176" s="2">
        <f>AA175+Tabla32037[[#This Row],[Incremento]]</f>
        <v>382351.06790501636</v>
      </c>
      <c r="AB176" s="2">
        <v>1624</v>
      </c>
      <c r="AC176" s="2"/>
      <c r="AD176" s="12">
        <v>263</v>
      </c>
      <c r="AE176" s="2">
        <f>AE175+Tabla32037[[#This Row],[Incremento]]</f>
        <v>499990.13581003266</v>
      </c>
      <c r="AF176" s="2">
        <v>1624</v>
      </c>
      <c r="AH176" s="12">
        <v>263</v>
      </c>
      <c r="AI176" s="2">
        <f>AI175+Tabla32037[[#This Row],[Incremento]]</f>
        <v>499990.13581003266</v>
      </c>
      <c r="AJ176" s="2">
        <v>1624</v>
      </c>
      <c r="AM176" s="34">
        <v>263</v>
      </c>
      <c r="AN176" s="32">
        <f>AN175+Tabla32037[[#This Row],[Incremento]]</f>
        <v>594101.39013404562</v>
      </c>
      <c r="AO176" s="32">
        <v>1624</v>
      </c>
      <c r="AQ176" s="12">
        <v>263</v>
      </c>
      <c r="AR176" s="2">
        <f>AR175+Tabla32037[[#This Row],[Incremento]]</f>
        <v>488226.22901953099</v>
      </c>
      <c r="AS176" s="2">
        <v>1624</v>
      </c>
      <c r="AU176" s="12">
        <v>263</v>
      </c>
      <c r="AV176" s="2">
        <f>AV175+Tabla32037[[#This Row],[Incremento]]</f>
        <v>678997.60438719997</v>
      </c>
      <c r="AW176" s="2">
        <v>1624</v>
      </c>
      <c r="AX176" s="2"/>
      <c r="AY176" s="12">
        <v>263</v>
      </c>
      <c r="AZ176" s="2">
        <f>AZ175+Tabla32037[[#This Row],[Incremento]]</f>
        <v>1873020.9533449123</v>
      </c>
      <c r="BA176" s="2">
        <v>1624</v>
      </c>
      <c r="BC176" s="12">
        <v>263</v>
      </c>
      <c r="BD176" s="2">
        <f>BD175+Tabla32037[[#This Row],[Incremento]]</f>
        <v>402807.20146240003</v>
      </c>
      <c r="BE176" s="2">
        <v>1624</v>
      </c>
    </row>
    <row r="177" spans="3:57" ht="17" customHeight="1" x14ac:dyDescent="0.2">
      <c r="C177" s="2"/>
      <c r="D177" s="2"/>
      <c r="F177" s="12">
        <v>264</v>
      </c>
      <c r="G177" s="2">
        <f>G176+Tabla32037[[#This Row],[Incremento]]</f>
        <v>509011.8228125</v>
      </c>
      <c r="H177" s="2">
        <v>1624</v>
      </c>
      <c r="J177" s="12">
        <v>264</v>
      </c>
      <c r="K177" s="2">
        <f>K176+Tabla32037[[#This Row],[Incremento]]</f>
        <v>509011.8228125</v>
      </c>
      <c r="L177" s="2">
        <v>1624</v>
      </c>
      <c r="N177" s="12">
        <v>264</v>
      </c>
      <c r="O177" s="2">
        <f>O176+Tabla32037[[#This Row],[Incremento]]</f>
        <v>423207.72655000002</v>
      </c>
      <c r="P177" s="2">
        <v>1624</v>
      </c>
      <c r="R177" s="12">
        <v>264</v>
      </c>
      <c r="S177" s="2">
        <f>S176+Tabla32037[[#This Row],[Incremento]]</f>
        <v>327111.3125</v>
      </c>
      <c r="T177" s="2">
        <v>1624</v>
      </c>
      <c r="V177" s="12">
        <v>264</v>
      </c>
      <c r="W177" s="2">
        <f>W176+Tabla32037[[#This Row],[Incremento]]</f>
        <v>854806.61494397931</v>
      </c>
      <c r="X177" s="2">
        <v>1624</v>
      </c>
      <c r="Y177" s="2"/>
      <c r="Z177" s="12">
        <v>264</v>
      </c>
      <c r="AA177" s="2">
        <f>AA176+Tabla32037[[#This Row],[Incremento]]</f>
        <v>383975.06790501636</v>
      </c>
      <c r="AB177" s="2">
        <v>1624</v>
      </c>
      <c r="AC177" s="2"/>
      <c r="AD177" s="12">
        <v>264</v>
      </c>
      <c r="AE177" s="2">
        <f>AE176+Tabla32037[[#This Row],[Incremento]]</f>
        <v>501614.13581003266</v>
      </c>
      <c r="AF177" s="2">
        <v>1624</v>
      </c>
      <c r="AH177" s="12">
        <v>264</v>
      </c>
      <c r="AI177" s="2">
        <f>AI176+Tabla32037[[#This Row],[Incremento]]</f>
        <v>501614.13581003266</v>
      </c>
      <c r="AJ177" s="2">
        <v>1624</v>
      </c>
      <c r="AM177" s="35">
        <v>264</v>
      </c>
      <c r="AN177" s="10">
        <f>AN176+Tabla32037[[#This Row],[Incremento]]</f>
        <v>595725.39013404562</v>
      </c>
      <c r="AO177" s="10">
        <v>1624</v>
      </c>
      <c r="AQ177" s="12">
        <v>264</v>
      </c>
      <c r="AR177" s="2">
        <f>AR176+Tabla32037[[#This Row],[Incremento]]</f>
        <v>489850.22901953099</v>
      </c>
      <c r="AS177" s="2">
        <v>1624</v>
      </c>
      <c r="AU177" s="12">
        <v>264</v>
      </c>
      <c r="AV177" s="2">
        <f>AV176+Tabla32037[[#This Row],[Incremento]]</f>
        <v>680621.60438719997</v>
      </c>
      <c r="AW177" s="2">
        <v>1624</v>
      </c>
      <c r="AX177" s="2"/>
      <c r="AY177" s="12">
        <v>264</v>
      </c>
      <c r="AZ177" s="2">
        <f>AZ176+Tabla32037[[#This Row],[Incremento]]</f>
        <v>1874644.9533449123</v>
      </c>
      <c r="BA177" s="2">
        <v>1624</v>
      </c>
      <c r="BC177" s="12">
        <v>264</v>
      </c>
      <c r="BD177" s="2">
        <f>BD176+Tabla32037[[#This Row],[Incremento]]</f>
        <v>404431.20146240003</v>
      </c>
      <c r="BE177" s="2">
        <v>1624</v>
      </c>
    </row>
    <row r="178" spans="3:57" ht="17" customHeight="1" x14ac:dyDescent="0.2">
      <c r="C178" s="2"/>
      <c r="D178" s="2"/>
      <c r="F178" s="12">
        <v>265</v>
      </c>
      <c r="G178" s="2">
        <f>G177+Tabla32037[[#This Row],[Incremento]]</f>
        <v>510635.8228125</v>
      </c>
      <c r="H178" s="2">
        <v>1624</v>
      </c>
      <c r="J178" s="12">
        <v>265</v>
      </c>
      <c r="K178" s="2">
        <f>K177+Tabla32037[[#This Row],[Incremento]]</f>
        <v>510635.8228125</v>
      </c>
      <c r="L178" s="2">
        <v>1624</v>
      </c>
      <c r="N178" s="12">
        <v>265</v>
      </c>
      <c r="O178" s="2">
        <f>O177+Tabla32037[[#This Row],[Incremento]]</f>
        <v>424831.72655000002</v>
      </c>
      <c r="P178" s="2">
        <v>1624</v>
      </c>
      <c r="R178" s="12">
        <v>265</v>
      </c>
      <c r="S178" s="2">
        <f>S177+Tabla32037[[#This Row],[Incremento]]</f>
        <v>328735.3125</v>
      </c>
      <c r="T178" s="2">
        <v>1624</v>
      </c>
      <c r="V178" s="12">
        <v>265</v>
      </c>
      <c r="W178" s="2">
        <f>W177+Tabla32037[[#This Row],[Incremento]]</f>
        <v>856430.61494397931</v>
      </c>
      <c r="X178" s="2">
        <v>1624</v>
      </c>
      <c r="Y178" s="2"/>
      <c r="Z178" s="12">
        <v>265</v>
      </c>
      <c r="AA178" s="2">
        <f>AA177+Tabla32037[[#This Row],[Incremento]]</f>
        <v>385599.06790501636</v>
      </c>
      <c r="AB178" s="2">
        <v>1624</v>
      </c>
      <c r="AC178" s="2"/>
      <c r="AD178" s="12">
        <v>265</v>
      </c>
      <c r="AE178" s="2">
        <f>AE177+Tabla32037[[#This Row],[Incremento]]</f>
        <v>503238.13581003266</v>
      </c>
      <c r="AF178" s="2">
        <v>1624</v>
      </c>
      <c r="AH178" s="12">
        <v>265</v>
      </c>
      <c r="AI178" s="2">
        <f>AI177+Tabla32037[[#This Row],[Incremento]]</f>
        <v>503238.13581003266</v>
      </c>
      <c r="AJ178" s="2">
        <v>1624</v>
      </c>
      <c r="AM178" s="34">
        <v>265</v>
      </c>
      <c r="AN178" s="32">
        <f>AN177+Tabla32037[[#This Row],[Incremento]]</f>
        <v>597349.39013404562</v>
      </c>
      <c r="AO178" s="32">
        <v>1624</v>
      </c>
      <c r="AQ178" s="12">
        <v>265</v>
      </c>
      <c r="AR178" s="2">
        <f>AR177+Tabla32037[[#This Row],[Incremento]]</f>
        <v>491474.22901953099</v>
      </c>
      <c r="AS178" s="2">
        <v>1624</v>
      </c>
      <c r="AU178" s="12">
        <v>265</v>
      </c>
      <c r="AV178" s="2">
        <f>AV177+Tabla32037[[#This Row],[Incremento]]</f>
        <v>682245.60438719997</v>
      </c>
      <c r="AW178" s="2">
        <v>1624</v>
      </c>
      <c r="AX178" s="2"/>
      <c r="AY178" s="12">
        <v>265</v>
      </c>
      <c r="AZ178" s="2">
        <f>AZ177+Tabla32037[[#This Row],[Incremento]]</f>
        <v>1876268.9533449123</v>
      </c>
      <c r="BA178" s="2">
        <v>1624</v>
      </c>
      <c r="BC178" s="12">
        <v>265</v>
      </c>
      <c r="BD178" s="2">
        <f>BD177+Tabla32037[[#This Row],[Incremento]]</f>
        <v>406055.20146240003</v>
      </c>
      <c r="BE178" s="2">
        <v>1624</v>
      </c>
    </row>
    <row r="179" spans="3:57" ht="17" customHeight="1" x14ac:dyDescent="0.2">
      <c r="C179" s="2"/>
      <c r="D179" s="2"/>
      <c r="F179" s="12">
        <v>266</v>
      </c>
      <c r="G179" s="2">
        <f>G178+Tabla32037[[#This Row],[Incremento]]</f>
        <v>512259.8228125</v>
      </c>
      <c r="H179" s="2">
        <v>1624</v>
      </c>
      <c r="J179" s="12">
        <v>266</v>
      </c>
      <c r="K179" s="2">
        <f>K178+Tabla32037[[#This Row],[Incremento]]</f>
        <v>512259.8228125</v>
      </c>
      <c r="L179" s="2">
        <v>1624</v>
      </c>
      <c r="N179" s="12">
        <v>266</v>
      </c>
      <c r="O179" s="2">
        <f>O178+Tabla32037[[#This Row],[Incremento]]</f>
        <v>426455.72655000002</v>
      </c>
      <c r="P179" s="2">
        <v>1624</v>
      </c>
      <c r="R179" s="12">
        <v>266</v>
      </c>
      <c r="S179" s="2">
        <f>S178+Tabla32037[[#This Row],[Incremento]]</f>
        <v>330359.3125</v>
      </c>
      <c r="T179" s="2">
        <v>1624</v>
      </c>
      <c r="V179" s="12">
        <v>266</v>
      </c>
      <c r="W179" s="2">
        <f>W178+Tabla32037[[#This Row],[Incremento]]</f>
        <v>858054.61494397931</v>
      </c>
      <c r="X179" s="2">
        <v>1624</v>
      </c>
      <c r="Y179" s="2"/>
      <c r="Z179" s="12">
        <v>266</v>
      </c>
      <c r="AA179" s="2">
        <f>AA178+Tabla32037[[#This Row],[Incremento]]</f>
        <v>387223.06790501636</v>
      </c>
      <c r="AB179" s="2">
        <v>1624</v>
      </c>
      <c r="AC179" s="2"/>
      <c r="AD179" s="12">
        <v>266</v>
      </c>
      <c r="AE179" s="2">
        <f>AE178+Tabla32037[[#This Row],[Incremento]]</f>
        <v>504862.13581003266</v>
      </c>
      <c r="AF179" s="2">
        <v>1624</v>
      </c>
      <c r="AH179" s="12">
        <v>266</v>
      </c>
      <c r="AI179" s="2">
        <f>AI178+Tabla32037[[#This Row],[Incremento]]</f>
        <v>504862.13581003266</v>
      </c>
      <c r="AJ179" s="2">
        <v>1624</v>
      </c>
      <c r="AM179" s="35">
        <v>266</v>
      </c>
      <c r="AN179" s="10">
        <f>AN178+Tabla32037[[#This Row],[Incremento]]</f>
        <v>598973.39013404562</v>
      </c>
      <c r="AO179" s="10">
        <v>1624</v>
      </c>
      <c r="AQ179" s="12">
        <v>266</v>
      </c>
      <c r="AR179" s="2">
        <f>AR178+Tabla32037[[#This Row],[Incremento]]</f>
        <v>493098.22901953099</v>
      </c>
      <c r="AS179" s="2">
        <v>1624</v>
      </c>
      <c r="AU179" s="12">
        <v>266</v>
      </c>
      <c r="AV179" s="2">
        <f>AV178+Tabla32037[[#This Row],[Incremento]]</f>
        <v>683869.60438719997</v>
      </c>
      <c r="AW179" s="2">
        <v>1624</v>
      </c>
      <c r="AX179" s="2"/>
      <c r="AY179" s="12">
        <v>266</v>
      </c>
      <c r="AZ179" s="2">
        <f>AZ178+Tabla32037[[#This Row],[Incremento]]</f>
        <v>1877892.9533449123</v>
      </c>
      <c r="BA179" s="2">
        <v>1624</v>
      </c>
      <c r="BC179" s="12">
        <v>266</v>
      </c>
      <c r="BD179" s="2">
        <f>BD178+Tabla32037[[#This Row],[Incremento]]</f>
        <v>407679.20146240003</v>
      </c>
      <c r="BE179" s="2">
        <v>1624</v>
      </c>
    </row>
    <row r="180" spans="3:57" ht="17" customHeight="1" x14ac:dyDescent="0.2">
      <c r="C180" s="2"/>
      <c r="D180" s="2"/>
      <c r="F180" s="12">
        <v>267</v>
      </c>
      <c r="G180" s="2">
        <f>G179+Tabla32037[[#This Row],[Incremento]]</f>
        <v>513883.8228125</v>
      </c>
      <c r="H180" s="2">
        <v>1624</v>
      </c>
      <c r="J180" s="12">
        <v>267</v>
      </c>
      <c r="K180" s="2">
        <f>K179+Tabla32037[[#This Row],[Incremento]]</f>
        <v>513883.8228125</v>
      </c>
      <c r="L180" s="2">
        <v>1624</v>
      </c>
      <c r="N180" s="12">
        <v>267</v>
      </c>
      <c r="O180" s="2">
        <f>O179+Tabla32037[[#This Row],[Incremento]]</f>
        <v>428079.72655000002</v>
      </c>
      <c r="P180" s="2">
        <v>1624</v>
      </c>
      <c r="R180" s="12">
        <v>267</v>
      </c>
      <c r="S180" s="2">
        <f>S179+Tabla32037[[#This Row],[Incremento]]</f>
        <v>331983.3125</v>
      </c>
      <c r="T180" s="2">
        <v>1624</v>
      </c>
      <c r="V180" s="12">
        <v>267</v>
      </c>
      <c r="W180" s="2">
        <f>W179+Tabla32037[[#This Row],[Incremento]]</f>
        <v>859678.61494397931</v>
      </c>
      <c r="X180" s="2">
        <v>1624</v>
      </c>
      <c r="Y180" s="2"/>
      <c r="Z180" s="12">
        <v>267</v>
      </c>
      <c r="AA180" s="2">
        <f>AA179+Tabla32037[[#This Row],[Incremento]]</f>
        <v>388847.06790501636</v>
      </c>
      <c r="AB180" s="2">
        <v>1624</v>
      </c>
      <c r="AC180" s="2"/>
      <c r="AD180" s="12">
        <v>267</v>
      </c>
      <c r="AE180" s="2">
        <f>AE179+Tabla32037[[#This Row],[Incremento]]</f>
        <v>506486.13581003266</v>
      </c>
      <c r="AF180" s="2">
        <v>1624</v>
      </c>
      <c r="AH180" s="12">
        <v>267</v>
      </c>
      <c r="AI180" s="2">
        <f>AI179+Tabla32037[[#This Row],[Incremento]]</f>
        <v>506486.13581003266</v>
      </c>
      <c r="AJ180" s="2">
        <v>1624</v>
      </c>
      <c r="AM180" s="34">
        <v>267</v>
      </c>
      <c r="AN180" s="32">
        <f>AN179+Tabla32037[[#This Row],[Incremento]]</f>
        <v>600597.39013404562</v>
      </c>
      <c r="AO180" s="32">
        <v>1624</v>
      </c>
      <c r="AQ180" s="12">
        <v>267</v>
      </c>
      <c r="AR180" s="2">
        <f>AR179+Tabla32037[[#This Row],[Incremento]]</f>
        <v>494722.22901953099</v>
      </c>
      <c r="AS180" s="2">
        <v>1624</v>
      </c>
      <c r="AU180" s="12">
        <v>267</v>
      </c>
      <c r="AV180" s="2">
        <f>AV179+Tabla32037[[#This Row],[Incremento]]</f>
        <v>685493.60438719997</v>
      </c>
      <c r="AW180" s="2">
        <v>1624</v>
      </c>
      <c r="AX180" s="2"/>
      <c r="AY180" s="12">
        <v>267</v>
      </c>
      <c r="AZ180" s="2">
        <f>AZ179+Tabla32037[[#This Row],[Incremento]]</f>
        <v>1879516.9533449123</v>
      </c>
      <c r="BA180" s="2">
        <v>1624</v>
      </c>
      <c r="BC180" s="12">
        <v>267</v>
      </c>
      <c r="BD180" s="2">
        <f>BD179+Tabla32037[[#This Row],[Incremento]]</f>
        <v>409303.20146240003</v>
      </c>
      <c r="BE180" s="2">
        <v>1624</v>
      </c>
    </row>
    <row r="181" spans="3:57" ht="17" customHeight="1" x14ac:dyDescent="0.2">
      <c r="C181" s="2"/>
      <c r="D181" s="2"/>
      <c r="F181" s="12">
        <v>268</v>
      </c>
      <c r="G181" s="2">
        <f>G180+Tabla32037[[#This Row],[Incremento]]</f>
        <v>515507.8228125</v>
      </c>
      <c r="H181" s="2">
        <v>1624</v>
      </c>
      <c r="J181" s="12">
        <v>268</v>
      </c>
      <c r="K181" s="2">
        <f>K180+Tabla32037[[#This Row],[Incremento]]</f>
        <v>515507.8228125</v>
      </c>
      <c r="L181" s="2">
        <v>1624</v>
      </c>
      <c r="N181" s="12">
        <v>268</v>
      </c>
      <c r="O181" s="2">
        <f>O180+Tabla32037[[#This Row],[Incremento]]</f>
        <v>429703.72655000002</v>
      </c>
      <c r="P181" s="2">
        <v>1624</v>
      </c>
      <c r="R181" s="12">
        <v>268</v>
      </c>
      <c r="S181" s="2">
        <f>S180+Tabla32037[[#This Row],[Incremento]]</f>
        <v>333607.3125</v>
      </c>
      <c r="T181" s="2">
        <v>1624</v>
      </c>
      <c r="V181" s="12">
        <v>268</v>
      </c>
      <c r="W181" s="2">
        <f>W180+Tabla32037[[#This Row],[Incremento]]</f>
        <v>861302.61494397931</v>
      </c>
      <c r="X181" s="2">
        <v>1624</v>
      </c>
      <c r="Y181" s="2"/>
      <c r="Z181" s="12">
        <v>268</v>
      </c>
      <c r="AA181" s="2">
        <f>AA180+Tabla32037[[#This Row],[Incremento]]</f>
        <v>390471.06790501636</v>
      </c>
      <c r="AB181" s="2">
        <v>1624</v>
      </c>
      <c r="AC181" s="2"/>
      <c r="AD181" s="12">
        <v>268</v>
      </c>
      <c r="AE181" s="2">
        <f>AE180+Tabla32037[[#This Row],[Incremento]]</f>
        <v>508110.13581003266</v>
      </c>
      <c r="AF181" s="2">
        <v>1624</v>
      </c>
      <c r="AH181" s="12">
        <v>268</v>
      </c>
      <c r="AI181" s="2">
        <f>AI180+Tabla32037[[#This Row],[Incremento]]</f>
        <v>508110.13581003266</v>
      </c>
      <c r="AJ181" s="2">
        <v>1624</v>
      </c>
      <c r="AM181" s="35">
        <v>268</v>
      </c>
      <c r="AN181" s="10">
        <f>AN180+Tabla32037[[#This Row],[Incremento]]</f>
        <v>602221.39013404562</v>
      </c>
      <c r="AO181" s="10">
        <v>1624</v>
      </c>
      <c r="AQ181" s="12">
        <v>268</v>
      </c>
      <c r="AR181" s="2">
        <f>AR180+Tabla32037[[#This Row],[Incremento]]</f>
        <v>496346.22901953099</v>
      </c>
      <c r="AS181" s="2">
        <v>1624</v>
      </c>
      <c r="AU181" s="12">
        <v>268</v>
      </c>
      <c r="AV181" s="2">
        <f>AV180+Tabla32037[[#This Row],[Incremento]]</f>
        <v>687117.60438719997</v>
      </c>
      <c r="AW181" s="2">
        <v>1624</v>
      </c>
      <c r="AX181" s="2"/>
      <c r="AY181" s="12">
        <v>268</v>
      </c>
      <c r="AZ181" s="2">
        <f>AZ180+Tabla32037[[#This Row],[Incremento]]</f>
        <v>1881140.9533449123</v>
      </c>
      <c r="BA181" s="2">
        <v>1624</v>
      </c>
      <c r="BC181" s="12">
        <v>268</v>
      </c>
      <c r="BD181" s="2">
        <f>BD180+Tabla32037[[#This Row],[Incremento]]</f>
        <v>410927.20146240003</v>
      </c>
      <c r="BE181" s="2">
        <v>1624</v>
      </c>
    </row>
    <row r="182" spans="3:57" ht="17" customHeight="1" x14ac:dyDescent="0.2">
      <c r="C182" s="2"/>
      <c r="D182" s="2"/>
      <c r="F182" s="12">
        <v>269</v>
      </c>
      <c r="G182" s="2">
        <f>G181+Tabla32037[[#This Row],[Incremento]]</f>
        <v>517131.8228125</v>
      </c>
      <c r="H182" s="2">
        <v>1624</v>
      </c>
      <c r="J182" s="12">
        <v>269</v>
      </c>
      <c r="K182" s="2">
        <f>K181+Tabla32037[[#This Row],[Incremento]]</f>
        <v>517131.8228125</v>
      </c>
      <c r="L182" s="2">
        <v>1624</v>
      </c>
      <c r="N182" s="12">
        <v>269</v>
      </c>
      <c r="O182" s="2">
        <f>O181+Tabla32037[[#This Row],[Incremento]]</f>
        <v>431327.72655000002</v>
      </c>
      <c r="P182" s="2">
        <v>1624</v>
      </c>
      <c r="R182" s="12">
        <v>269</v>
      </c>
      <c r="S182" s="2">
        <f>S181+Tabla32037[[#This Row],[Incremento]]</f>
        <v>335231.3125</v>
      </c>
      <c r="T182" s="2">
        <v>1624</v>
      </c>
      <c r="V182" s="12">
        <v>269</v>
      </c>
      <c r="W182" s="2">
        <f>W181+Tabla32037[[#This Row],[Incremento]]</f>
        <v>862926.61494397931</v>
      </c>
      <c r="X182" s="2">
        <v>1624</v>
      </c>
      <c r="Y182" s="2"/>
      <c r="Z182" s="12">
        <v>269</v>
      </c>
      <c r="AA182" s="2">
        <f>AA181+Tabla32037[[#This Row],[Incremento]]</f>
        <v>392095.06790501636</v>
      </c>
      <c r="AB182" s="2">
        <v>1624</v>
      </c>
      <c r="AC182" s="2"/>
      <c r="AD182" s="12">
        <v>269</v>
      </c>
      <c r="AE182" s="2">
        <f>AE181+Tabla32037[[#This Row],[Incremento]]</f>
        <v>509734.13581003266</v>
      </c>
      <c r="AF182" s="2">
        <v>1624</v>
      </c>
      <c r="AH182" s="12">
        <v>269</v>
      </c>
      <c r="AI182" s="2">
        <f>AI181+Tabla32037[[#This Row],[Incremento]]</f>
        <v>509734.13581003266</v>
      </c>
      <c r="AJ182" s="2">
        <v>1624</v>
      </c>
      <c r="AM182" s="34">
        <v>269</v>
      </c>
      <c r="AN182" s="32">
        <f>AN181+Tabla32037[[#This Row],[Incremento]]</f>
        <v>603845.39013404562</v>
      </c>
      <c r="AO182" s="32">
        <v>1624</v>
      </c>
      <c r="AQ182" s="12">
        <v>269</v>
      </c>
      <c r="AR182" s="2">
        <f>AR181+Tabla32037[[#This Row],[Incremento]]</f>
        <v>497970.22901953099</v>
      </c>
      <c r="AS182" s="2">
        <v>1624</v>
      </c>
      <c r="AU182" s="12">
        <v>269</v>
      </c>
      <c r="AV182" s="2">
        <f>AV181+Tabla32037[[#This Row],[Incremento]]</f>
        <v>688741.60438719997</v>
      </c>
      <c r="AW182" s="2">
        <v>1624</v>
      </c>
      <c r="AX182" s="2"/>
      <c r="AY182" s="12">
        <v>269</v>
      </c>
      <c r="AZ182" s="2">
        <f>AZ181+Tabla32037[[#This Row],[Incremento]]</f>
        <v>1882764.9533449123</v>
      </c>
      <c r="BA182" s="2">
        <v>1624</v>
      </c>
      <c r="BC182" s="12">
        <v>269</v>
      </c>
      <c r="BD182" s="2">
        <f>BD181+Tabla32037[[#This Row],[Incremento]]</f>
        <v>412551.20146240003</v>
      </c>
      <c r="BE182" s="2">
        <v>1624</v>
      </c>
    </row>
    <row r="183" spans="3:57" ht="17" customHeight="1" x14ac:dyDescent="0.2">
      <c r="C183" s="2"/>
      <c r="D183" s="2"/>
      <c r="F183" s="12">
        <v>270</v>
      </c>
      <c r="G183" s="2">
        <f>G182+Tabla32037[[#This Row],[Incremento]]</f>
        <v>518755.8228125</v>
      </c>
      <c r="H183" s="2">
        <v>1624</v>
      </c>
      <c r="J183" s="12">
        <v>270</v>
      </c>
      <c r="K183" s="2">
        <f>K182+Tabla32037[[#This Row],[Incremento]]</f>
        <v>518755.8228125</v>
      </c>
      <c r="L183" s="2">
        <v>1624</v>
      </c>
      <c r="N183" s="12">
        <v>270</v>
      </c>
      <c r="O183" s="2">
        <f>O182+Tabla32037[[#This Row],[Incremento]]</f>
        <v>432951.72655000002</v>
      </c>
      <c r="P183" s="2">
        <v>1624</v>
      </c>
      <c r="R183" s="12">
        <v>270</v>
      </c>
      <c r="S183" s="2">
        <f>S182+Tabla32037[[#This Row],[Incremento]]</f>
        <v>336855.3125</v>
      </c>
      <c r="T183" s="2">
        <v>1624</v>
      </c>
      <c r="V183" s="12">
        <v>270</v>
      </c>
      <c r="W183" s="2">
        <f>W182+Tabla32037[[#This Row],[Incremento]]</f>
        <v>864550.61494397931</v>
      </c>
      <c r="X183" s="2">
        <v>1624</v>
      </c>
      <c r="Y183" s="2"/>
      <c r="Z183" s="12">
        <v>270</v>
      </c>
      <c r="AA183" s="2">
        <f>AA182+Tabla32037[[#This Row],[Incremento]]</f>
        <v>393719.06790501636</v>
      </c>
      <c r="AB183" s="2">
        <v>1624</v>
      </c>
      <c r="AC183" s="2"/>
      <c r="AD183" s="12">
        <v>270</v>
      </c>
      <c r="AE183" s="2">
        <f>AE182+Tabla32037[[#This Row],[Incremento]]</f>
        <v>511358.13581003266</v>
      </c>
      <c r="AF183" s="2">
        <v>1624</v>
      </c>
      <c r="AH183" s="12">
        <v>270</v>
      </c>
      <c r="AI183" s="2">
        <f>AI182+Tabla32037[[#This Row],[Incremento]]</f>
        <v>511358.13581003266</v>
      </c>
      <c r="AJ183" s="2">
        <v>1624</v>
      </c>
      <c r="AM183" s="35">
        <v>270</v>
      </c>
      <c r="AN183" s="10">
        <f>AN182+Tabla32037[[#This Row],[Incremento]]</f>
        <v>605469.39013404562</v>
      </c>
      <c r="AO183" s="10">
        <v>1624</v>
      </c>
      <c r="AQ183" s="12">
        <v>270</v>
      </c>
      <c r="AR183" s="2">
        <f>AR182+Tabla32037[[#This Row],[Incremento]]</f>
        <v>499594.22901953099</v>
      </c>
      <c r="AS183" s="2">
        <v>1624</v>
      </c>
      <c r="AU183" s="12">
        <v>270</v>
      </c>
      <c r="AV183" s="2">
        <f>AV182+Tabla32037[[#This Row],[Incremento]]</f>
        <v>690365.60438719997</v>
      </c>
      <c r="AW183" s="2">
        <v>1624</v>
      </c>
      <c r="AX183" s="2"/>
      <c r="AY183" s="12">
        <v>270</v>
      </c>
      <c r="AZ183" s="2">
        <f>AZ182+Tabla32037[[#This Row],[Incremento]]</f>
        <v>1884388.9533449123</v>
      </c>
      <c r="BA183" s="2">
        <v>1624</v>
      </c>
      <c r="BC183" s="12">
        <v>270</v>
      </c>
      <c r="BD183" s="2">
        <f>BD182+Tabla32037[[#This Row],[Incremento]]</f>
        <v>414175.20146240003</v>
      </c>
      <c r="BE183" s="2">
        <v>1624</v>
      </c>
    </row>
    <row r="184" spans="3:57" ht="17" customHeight="1" x14ac:dyDescent="0.2">
      <c r="C184" s="2"/>
      <c r="D184" s="2"/>
      <c r="F184" s="12">
        <v>271</v>
      </c>
      <c r="G184" s="2">
        <f>G183+Tabla32037[[#This Row],[Incremento]]</f>
        <v>520379.8228125</v>
      </c>
      <c r="H184" s="2">
        <v>1624</v>
      </c>
      <c r="J184" s="12">
        <v>271</v>
      </c>
      <c r="K184" s="2">
        <f>K183+Tabla32037[[#This Row],[Incremento]]</f>
        <v>520379.8228125</v>
      </c>
      <c r="L184" s="2">
        <v>1624</v>
      </c>
      <c r="N184" s="12">
        <v>271</v>
      </c>
      <c r="O184" s="2">
        <f>O183+Tabla32037[[#This Row],[Incremento]]</f>
        <v>434575.72655000002</v>
      </c>
      <c r="P184" s="2">
        <v>1624</v>
      </c>
      <c r="R184" s="12">
        <v>271</v>
      </c>
      <c r="S184" s="2">
        <f>S183+Tabla32037[[#This Row],[Incremento]]</f>
        <v>338479.3125</v>
      </c>
      <c r="T184" s="2">
        <v>1624</v>
      </c>
      <c r="V184" s="12">
        <v>271</v>
      </c>
      <c r="W184" s="2">
        <f>W183+Tabla32037[[#This Row],[Incremento]]</f>
        <v>866174.61494397931</v>
      </c>
      <c r="X184" s="2">
        <v>1624</v>
      </c>
      <c r="Y184" s="2"/>
      <c r="Z184" s="12">
        <v>271</v>
      </c>
      <c r="AA184" s="2">
        <f>AA183+Tabla32037[[#This Row],[Incremento]]</f>
        <v>395343.06790501636</v>
      </c>
      <c r="AB184" s="2">
        <v>1624</v>
      </c>
      <c r="AC184" s="2"/>
      <c r="AD184" s="12">
        <v>271</v>
      </c>
      <c r="AE184" s="2">
        <f>AE183+Tabla32037[[#This Row],[Incremento]]</f>
        <v>512982.13581003266</v>
      </c>
      <c r="AF184" s="2">
        <v>1624</v>
      </c>
      <c r="AH184" s="12">
        <v>271</v>
      </c>
      <c r="AI184" s="2">
        <f>AI183+Tabla32037[[#This Row],[Incremento]]</f>
        <v>512982.13581003266</v>
      </c>
      <c r="AJ184" s="2">
        <v>1624</v>
      </c>
      <c r="AM184" s="34">
        <v>271</v>
      </c>
      <c r="AN184" s="32">
        <f>AN183+Tabla32037[[#This Row],[Incremento]]</f>
        <v>607093.39013404562</v>
      </c>
      <c r="AO184" s="32">
        <v>1624</v>
      </c>
      <c r="AQ184" s="12">
        <v>271</v>
      </c>
      <c r="AR184" s="2">
        <f>AR183+Tabla32037[[#This Row],[Incremento]]</f>
        <v>501218.22901953099</v>
      </c>
      <c r="AS184" s="2">
        <v>1624</v>
      </c>
      <c r="AU184" s="12">
        <v>271</v>
      </c>
      <c r="AV184" s="2">
        <f>AV183+Tabla32037[[#This Row],[Incremento]]</f>
        <v>691989.60438719997</v>
      </c>
      <c r="AW184" s="2">
        <v>1624</v>
      </c>
      <c r="AX184" s="2"/>
      <c r="AY184" s="12">
        <v>271</v>
      </c>
      <c r="AZ184" s="2">
        <f>AZ183+Tabla32037[[#This Row],[Incremento]]</f>
        <v>1886012.9533449123</v>
      </c>
      <c r="BA184" s="2">
        <v>1624</v>
      </c>
      <c r="BC184" s="12">
        <v>271</v>
      </c>
      <c r="BD184" s="2">
        <f>BD183+Tabla32037[[#This Row],[Incremento]]</f>
        <v>415799.20146240003</v>
      </c>
      <c r="BE184" s="2">
        <v>1624</v>
      </c>
    </row>
    <row r="185" spans="3:57" ht="17" customHeight="1" x14ac:dyDescent="0.2">
      <c r="C185" s="2"/>
      <c r="D185" s="2"/>
      <c r="F185" s="12">
        <v>272</v>
      </c>
      <c r="G185" s="2">
        <f>G184+Tabla32037[[#This Row],[Incremento]]</f>
        <v>522003.8228125</v>
      </c>
      <c r="H185" s="2">
        <v>1624</v>
      </c>
      <c r="J185" s="12">
        <v>272</v>
      </c>
      <c r="K185" s="2">
        <f>K184+Tabla32037[[#This Row],[Incremento]]</f>
        <v>522003.8228125</v>
      </c>
      <c r="L185" s="2">
        <v>1624</v>
      </c>
      <c r="N185" s="12">
        <v>272</v>
      </c>
      <c r="O185" s="2">
        <f>O184+Tabla32037[[#This Row],[Incremento]]</f>
        <v>436199.72655000002</v>
      </c>
      <c r="P185" s="2">
        <v>1624</v>
      </c>
      <c r="R185" s="12">
        <v>272</v>
      </c>
      <c r="S185" s="2">
        <f>S184+Tabla32037[[#This Row],[Incremento]]</f>
        <v>340103.3125</v>
      </c>
      <c r="T185" s="2">
        <v>1624</v>
      </c>
      <c r="V185" s="12">
        <v>272</v>
      </c>
      <c r="W185" s="2">
        <f>W184+Tabla32037[[#This Row],[Incremento]]</f>
        <v>867798.61494397931</v>
      </c>
      <c r="X185" s="2">
        <v>1624</v>
      </c>
      <c r="Y185" s="2"/>
      <c r="Z185" s="12">
        <v>272</v>
      </c>
      <c r="AA185" s="2">
        <f>AA184+Tabla32037[[#This Row],[Incremento]]</f>
        <v>396967.06790501636</v>
      </c>
      <c r="AB185" s="2">
        <v>1624</v>
      </c>
      <c r="AC185" s="2"/>
      <c r="AD185" s="12">
        <v>272</v>
      </c>
      <c r="AE185" s="2">
        <f>AE184+Tabla32037[[#This Row],[Incremento]]</f>
        <v>514606.13581003266</v>
      </c>
      <c r="AF185" s="2">
        <v>1624</v>
      </c>
      <c r="AH185" s="12">
        <v>272</v>
      </c>
      <c r="AI185" s="2">
        <f>AI184+Tabla32037[[#This Row],[Incremento]]</f>
        <v>514606.13581003266</v>
      </c>
      <c r="AJ185" s="2">
        <v>1624</v>
      </c>
      <c r="AM185" s="35">
        <v>272</v>
      </c>
      <c r="AN185" s="10">
        <f>AN184+Tabla32037[[#This Row],[Incremento]]</f>
        <v>608717.39013404562</v>
      </c>
      <c r="AO185" s="10">
        <v>1624</v>
      </c>
      <c r="AQ185" s="12">
        <v>272</v>
      </c>
      <c r="AR185" s="2">
        <f>AR184+Tabla32037[[#This Row],[Incremento]]</f>
        <v>502842.22901953099</v>
      </c>
      <c r="AS185" s="2">
        <v>1624</v>
      </c>
      <c r="AU185" s="12">
        <v>272</v>
      </c>
      <c r="AV185" s="2">
        <f>AV184+Tabla32037[[#This Row],[Incremento]]</f>
        <v>693613.60438719997</v>
      </c>
      <c r="AW185" s="2">
        <v>1624</v>
      </c>
      <c r="AX185" s="2"/>
      <c r="AY185" s="12">
        <v>272</v>
      </c>
      <c r="AZ185" s="2">
        <f>AZ184+Tabla32037[[#This Row],[Incremento]]</f>
        <v>1887636.9533449123</v>
      </c>
      <c r="BA185" s="2">
        <v>1624</v>
      </c>
      <c r="BC185" s="12">
        <v>272</v>
      </c>
      <c r="BD185" s="2">
        <f>BD184+Tabla32037[[#This Row],[Incremento]]</f>
        <v>417423.20146240003</v>
      </c>
      <c r="BE185" s="2">
        <v>1624</v>
      </c>
    </row>
    <row r="186" spans="3:57" ht="17" customHeight="1" x14ac:dyDescent="0.2">
      <c r="C186" s="2"/>
      <c r="D186" s="2"/>
      <c r="F186" s="12">
        <v>273</v>
      </c>
      <c r="G186" s="2">
        <f>G185+Tabla32037[[#This Row],[Incremento]]</f>
        <v>523627.8228125</v>
      </c>
      <c r="H186" s="2">
        <v>1624</v>
      </c>
      <c r="J186" s="12">
        <v>273</v>
      </c>
      <c r="K186" s="2">
        <f>K185+Tabla32037[[#This Row],[Incremento]]</f>
        <v>523627.8228125</v>
      </c>
      <c r="L186" s="2">
        <v>1624</v>
      </c>
      <c r="N186" s="12">
        <v>273</v>
      </c>
      <c r="O186" s="2">
        <f>O185+Tabla32037[[#This Row],[Incremento]]</f>
        <v>437823.72655000002</v>
      </c>
      <c r="P186" s="2">
        <v>1624</v>
      </c>
      <c r="R186" s="12">
        <v>273</v>
      </c>
      <c r="S186" s="2">
        <f>S185+Tabla32037[[#This Row],[Incremento]]</f>
        <v>341727.3125</v>
      </c>
      <c r="T186" s="2">
        <v>1624</v>
      </c>
      <c r="V186" s="12">
        <v>273</v>
      </c>
      <c r="W186" s="2">
        <f>W185+Tabla32037[[#This Row],[Incremento]]</f>
        <v>869422.61494397931</v>
      </c>
      <c r="X186" s="2">
        <v>1624</v>
      </c>
      <c r="Y186" s="2"/>
      <c r="Z186" s="12">
        <v>273</v>
      </c>
      <c r="AA186" s="2">
        <f>AA185+Tabla32037[[#This Row],[Incremento]]</f>
        <v>398591.06790501636</v>
      </c>
      <c r="AB186" s="2">
        <v>1624</v>
      </c>
      <c r="AC186" s="2"/>
      <c r="AD186" s="12">
        <v>273</v>
      </c>
      <c r="AE186" s="2">
        <f>AE185+Tabla32037[[#This Row],[Incremento]]</f>
        <v>516230.13581003266</v>
      </c>
      <c r="AF186" s="2">
        <v>1624</v>
      </c>
      <c r="AH186" s="12">
        <v>273</v>
      </c>
      <c r="AI186" s="2">
        <f>AI185+Tabla32037[[#This Row],[Incremento]]</f>
        <v>516230.13581003266</v>
      </c>
      <c r="AJ186" s="2">
        <v>1624</v>
      </c>
      <c r="AM186" s="34">
        <v>273</v>
      </c>
      <c r="AN186" s="32">
        <f>AN185+Tabla32037[[#This Row],[Incremento]]</f>
        <v>610341.39013404562</v>
      </c>
      <c r="AO186" s="32">
        <v>1624</v>
      </c>
      <c r="AQ186" s="12">
        <v>273</v>
      </c>
      <c r="AR186" s="2">
        <f>AR185+Tabla32037[[#This Row],[Incremento]]</f>
        <v>504466.22901953099</v>
      </c>
      <c r="AS186" s="2">
        <v>1624</v>
      </c>
      <c r="AU186" s="12">
        <v>273</v>
      </c>
      <c r="AV186" s="2">
        <f>AV185+Tabla32037[[#This Row],[Incremento]]</f>
        <v>695237.60438719997</v>
      </c>
      <c r="AW186" s="2">
        <v>1624</v>
      </c>
      <c r="AX186" s="2"/>
      <c r="AY186" s="12">
        <v>273</v>
      </c>
      <c r="AZ186" s="2">
        <f>AZ185+Tabla32037[[#This Row],[Incremento]]</f>
        <v>1889260.9533449123</v>
      </c>
      <c r="BA186" s="2">
        <v>1624</v>
      </c>
      <c r="BC186" s="12">
        <v>273</v>
      </c>
      <c r="BD186" s="2">
        <f>BD185+Tabla32037[[#This Row],[Incremento]]</f>
        <v>419047.20146240003</v>
      </c>
      <c r="BE186" s="2">
        <v>1624</v>
      </c>
    </row>
    <row r="187" spans="3:57" ht="17" customHeight="1" x14ac:dyDescent="0.2">
      <c r="C187" s="2"/>
      <c r="D187" s="2"/>
      <c r="F187" s="12">
        <v>274</v>
      </c>
      <c r="G187" s="2">
        <f>G186+Tabla32037[[#This Row],[Incremento]]</f>
        <v>525251.82281249994</v>
      </c>
      <c r="H187" s="2">
        <v>1624</v>
      </c>
      <c r="J187" s="12">
        <v>274</v>
      </c>
      <c r="K187" s="2">
        <f>K186+Tabla32037[[#This Row],[Incremento]]</f>
        <v>525251.82281249994</v>
      </c>
      <c r="L187" s="2">
        <v>1624</v>
      </c>
      <c r="N187" s="12">
        <v>274</v>
      </c>
      <c r="O187" s="2">
        <f>O186+Tabla32037[[#This Row],[Incremento]]</f>
        <v>439447.72655000002</v>
      </c>
      <c r="P187" s="2">
        <v>1624</v>
      </c>
      <c r="R187" s="12">
        <v>274</v>
      </c>
      <c r="S187" s="2">
        <f>S186+Tabla32037[[#This Row],[Incremento]]</f>
        <v>343351.3125</v>
      </c>
      <c r="T187" s="2">
        <v>1624</v>
      </c>
      <c r="V187" s="12">
        <v>274</v>
      </c>
      <c r="W187" s="2">
        <f>W186+Tabla32037[[#This Row],[Incremento]]</f>
        <v>871046.61494397931</v>
      </c>
      <c r="X187" s="2">
        <v>1624</v>
      </c>
      <c r="Y187" s="2"/>
      <c r="Z187" s="12">
        <v>274</v>
      </c>
      <c r="AA187" s="2">
        <f>AA186+Tabla32037[[#This Row],[Incremento]]</f>
        <v>400215.06790501636</v>
      </c>
      <c r="AB187" s="2">
        <v>1624</v>
      </c>
      <c r="AC187" s="2"/>
      <c r="AD187" s="12">
        <v>274</v>
      </c>
      <c r="AE187" s="2">
        <f>AE186+Tabla32037[[#This Row],[Incremento]]</f>
        <v>517854.13581003266</v>
      </c>
      <c r="AF187" s="2">
        <v>1624</v>
      </c>
      <c r="AH187" s="12">
        <v>274</v>
      </c>
      <c r="AI187" s="2">
        <f>AI186+Tabla32037[[#This Row],[Incremento]]</f>
        <v>517854.13581003266</v>
      </c>
      <c r="AJ187" s="2">
        <v>1624</v>
      </c>
      <c r="AM187" s="35">
        <v>274</v>
      </c>
      <c r="AN187" s="10">
        <f>AN186+Tabla32037[[#This Row],[Incremento]]</f>
        <v>611965.39013404562</v>
      </c>
      <c r="AO187" s="10">
        <v>1624</v>
      </c>
      <c r="AQ187" s="12">
        <v>274</v>
      </c>
      <c r="AR187" s="2">
        <f>AR186+Tabla32037[[#This Row],[Incremento]]</f>
        <v>506090.22901953099</v>
      </c>
      <c r="AS187" s="2">
        <v>1624</v>
      </c>
      <c r="AU187" s="12">
        <v>274</v>
      </c>
      <c r="AV187" s="2">
        <f>AV186+Tabla32037[[#This Row],[Incremento]]</f>
        <v>696861.60438719997</v>
      </c>
      <c r="AW187" s="2">
        <v>1624</v>
      </c>
      <c r="AX187" s="2"/>
      <c r="AY187" s="12">
        <v>274</v>
      </c>
      <c r="AZ187" s="2">
        <f>AZ186+Tabla32037[[#This Row],[Incremento]]</f>
        <v>1890884.9533449123</v>
      </c>
      <c r="BA187" s="2">
        <v>1624</v>
      </c>
      <c r="BC187" s="12">
        <v>274</v>
      </c>
      <c r="BD187" s="2">
        <f>BD186+Tabla32037[[#This Row],[Incremento]]</f>
        <v>420671.20146240003</v>
      </c>
      <c r="BE187" s="2">
        <v>1624</v>
      </c>
    </row>
    <row r="188" spans="3:57" ht="17" customHeight="1" x14ac:dyDescent="0.2">
      <c r="C188" s="2"/>
      <c r="D188" s="2"/>
      <c r="F188" s="12">
        <v>275</v>
      </c>
      <c r="G188" s="2">
        <f>G187+Tabla32037[[#This Row],[Incremento]]</f>
        <v>526875.82281249994</v>
      </c>
      <c r="H188" s="2">
        <v>1624</v>
      </c>
      <c r="J188" s="12">
        <v>275</v>
      </c>
      <c r="K188" s="2">
        <f>K187+Tabla32037[[#This Row],[Incremento]]</f>
        <v>526875.82281249994</v>
      </c>
      <c r="L188" s="2">
        <v>1624</v>
      </c>
      <c r="N188" s="12">
        <v>275</v>
      </c>
      <c r="O188" s="2">
        <f>O187+Tabla32037[[#This Row],[Incremento]]</f>
        <v>441071.72655000002</v>
      </c>
      <c r="P188" s="2">
        <v>1624</v>
      </c>
      <c r="R188" s="12">
        <v>275</v>
      </c>
      <c r="S188" s="2">
        <f>S187+Tabla32037[[#This Row],[Incremento]]</f>
        <v>344975.3125</v>
      </c>
      <c r="T188" s="2">
        <v>1624</v>
      </c>
      <c r="V188" s="12">
        <v>275</v>
      </c>
      <c r="W188" s="2">
        <f>W187+Tabla32037[[#This Row],[Incremento]]</f>
        <v>872670.61494397931</v>
      </c>
      <c r="X188" s="2">
        <v>1624</v>
      </c>
      <c r="Y188" s="2"/>
      <c r="Z188" s="12">
        <v>275</v>
      </c>
      <c r="AA188" s="2">
        <f>AA187+Tabla32037[[#This Row],[Incremento]]</f>
        <v>401839.06790501636</v>
      </c>
      <c r="AB188" s="2">
        <v>1624</v>
      </c>
      <c r="AC188" s="2"/>
      <c r="AD188" s="12">
        <v>275</v>
      </c>
      <c r="AE188" s="2">
        <f>AE187+Tabla32037[[#This Row],[Incremento]]</f>
        <v>519478.13581003266</v>
      </c>
      <c r="AF188" s="2">
        <v>1624</v>
      </c>
      <c r="AH188" s="12">
        <v>275</v>
      </c>
      <c r="AI188" s="2">
        <f>AI187+Tabla32037[[#This Row],[Incremento]]</f>
        <v>519478.13581003266</v>
      </c>
      <c r="AJ188" s="2">
        <v>1624</v>
      </c>
      <c r="AM188" s="34">
        <v>275</v>
      </c>
      <c r="AN188" s="32">
        <f>AN187+Tabla32037[[#This Row],[Incremento]]</f>
        <v>613589.39013404562</v>
      </c>
      <c r="AO188" s="32">
        <v>1624</v>
      </c>
      <c r="AQ188" s="12">
        <v>275</v>
      </c>
      <c r="AR188" s="2">
        <f>AR187+Tabla32037[[#This Row],[Incremento]]</f>
        <v>507714.22901953099</v>
      </c>
      <c r="AS188" s="2">
        <v>1624</v>
      </c>
      <c r="AU188" s="12">
        <v>275</v>
      </c>
      <c r="AV188" s="2">
        <f>AV187+Tabla32037[[#This Row],[Incremento]]</f>
        <v>698485.60438719997</v>
      </c>
      <c r="AW188" s="2">
        <v>1624</v>
      </c>
      <c r="AX188" s="2"/>
      <c r="AY188" s="12">
        <v>275</v>
      </c>
      <c r="AZ188" s="2">
        <f>AZ187+Tabla32037[[#This Row],[Incremento]]</f>
        <v>1892508.9533449123</v>
      </c>
      <c r="BA188" s="2">
        <v>1624</v>
      </c>
      <c r="BC188" s="12">
        <v>275</v>
      </c>
      <c r="BD188" s="2">
        <f>BD187+Tabla32037[[#This Row],[Incremento]]</f>
        <v>422295.20146240003</v>
      </c>
      <c r="BE188" s="2">
        <v>1624</v>
      </c>
    </row>
    <row r="189" spans="3:57" ht="17" customHeight="1" x14ac:dyDescent="0.2">
      <c r="C189" s="2"/>
      <c r="D189" s="2"/>
      <c r="F189" s="12">
        <v>276</v>
      </c>
      <c r="G189" s="2">
        <f>G188+Tabla32037[[#This Row],[Incremento]]</f>
        <v>528499.82281249994</v>
      </c>
      <c r="H189" s="2">
        <v>1624</v>
      </c>
      <c r="J189" s="12">
        <v>276</v>
      </c>
      <c r="K189" s="2">
        <f>K188+Tabla32037[[#This Row],[Incremento]]</f>
        <v>528499.82281249994</v>
      </c>
      <c r="L189" s="2">
        <v>1624</v>
      </c>
      <c r="N189" s="12">
        <v>276</v>
      </c>
      <c r="O189" s="2">
        <f>O188+Tabla32037[[#This Row],[Incremento]]</f>
        <v>442695.72655000002</v>
      </c>
      <c r="P189" s="2">
        <v>1624</v>
      </c>
      <c r="R189" s="12">
        <v>276</v>
      </c>
      <c r="S189" s="2">
        <f>S188+Tabla32037[[#This Row],[Incremento]]</f>
        <v>346599.3125</v>
      </c>
      <c r="T189" s="2">
        <v>1624</v>
      </c>
      <c r="V189" s="12">
        <v>276</v>
      </c>
      <c r="W189" s="2">
        <f>W188+Tabla32037[[#This Row],[Incremento]]</f>
        <v>874294.61494397931</v>
      </c>
      <c r="X189" s="2">
        <v>1624</v>
      </c>
      <c r="Y189" s="2"/>
      <c r="Z189" s="12">
        <v>276</v>
      </c>
      <c r="AA189" s="2">
        <f>AA188+Tabla32037[[#This Row],[Incremento]]</f>
        <v>403463.06790501636</v>
      </c>
      <c r="AB189" s="2">
        <v>1624</v>
      </c>
      <c r="AC189" s="2"/>
      <c r="AD189" s="12">
        <v>276</v>
      </c>
      <c r="AE189" s="2">
        <f>AE188+Tabla32037[[#This Row],[Incremento]]</f>
        <v>521102.13581003266</v>
      </c>
      <c r="AF189" s="2">
        <v>1624</v>
      </c>
      <c r="AH189" s="12">
        <v>276</v>
      </c>
      <c r="AI189" s="2">
        <f>AI188+Tabla32037[[#This Row],[Incremento]]</f>
        <v>521102.13581003266</v>
      </c>
      <c r="AJ189" s="2">
        <v>1624</v>
      </c>
      <c r="AM189" s="35">
        <v>276</v>
      </c>
      <c r="AN189" s="10">
        <f>AN188+Tabla32037[[#This Row],[Incremento]]</f>
        <v>615213.39013404562</v>
      </c>
      <c r="AO189" s="10">
        <v>1624</v>
      </c>
      <c r="AQ189" s="12">
        <v>276</v>
      </c>
      <c r="AR189" s="2">
        <f>AR188+Tabla32037[[#This Row],[Incremento]]</f>
        <v>509338.22901953099</v>
      </c>
      <c r="AS189" s="2">
        <v>1624</v>
      </c>
      <c r="AU189" s="12">
        <v>276</v>
      </c>
      <c r="AV189" s="2">
        <f>AV188+Tabla32037[[#This Row],[Incremento]]</f>
        <v>700109.60438719997</v>
      </c>
      <c r="AW189" s="2">
        <v>1624</v>
      </c>
      <c r="AX189" s="2"/>
      <c r="AY189" s="12">
        <v>276</v>
      </c>
      <c r="AZ189" s="2">
        <f>AZ188+Tabla32037[[#This Row],[Incremento]]</f>
        <v>1894132.9533449123</v>
      </c>
      <c r="BA189" s="2">
        <v>1624</v>
      </c>
      <c r="BC189" s="12">
        <v>276</v>
      </c>
      <c r="BD189" s="2">
        <f>BD188+Tabla32037[[#This Row],[Incremento]]</f>
        <v>423919.20146240003</v>
      </c>
      <c r="BE189" s="2">
        <v>1624</v>
      </c>
    </row>
    <row r="190" spans="3:57" ht="17" customHeight="1" x14ac:dyDescent="0.2">
      <c r="C190" s="2"/>
      <c r="D190" s="2"/>
      <c r="F190" s="12">
        <v>277</v>
      </c>
      <c r="G190" s="2">
        <f>G189+Tabla32037[[#This Row],[Incremento]]</f>
        <v>530123.82281249994</v>
      </c>
      <c r="H190" s="2">
        <v>1624</v>
      </c>
      <c r="J190" s="12">
        <v>277</v>
      </c>
      <c r="K190" s="2">
        <f>K189+Tabla32037[[#This Row],[Incremento]]</f>
        <v>530123.82281249994</v>
      </c>
      <c r="L190" s="2">
        <v>1624</v>
      </c>
      <c r="N190" s="12">
        <v>277</v>
      </c>
      <c r="O190" s="2">
        <f>O189+Tabla32037[[#This Row],[Incremento]]</f>
        <v>444319.72655000002</v>
      </c>
      <c r="P190" s="2">
        <v>1624</v>
      </c>
      <c r="R190" s="12">
        <v>277</v>
      </c>
      <c r="S190" s="2">
        <f>S189+Tabla32037[[#This Row],[Incremento]]</f>
        <v>348223.3125</v>
      </c>
      <c r="T190" s="2">
        <v>1624</v>
      </c>
      <c r="V190" s="12">
        <v>277</v>
      </c>
      <c r="W190" s="2">
        <f>W189+Tabla32037[[#This Row],[Incremento]]</f>
        <v>875918.61494397931</v>
      </c>
      <c r="X190" s="2">
        <v>1624</v>
      </c>
      <c r="Y190" s="2"/>
      <c r="Z190" s="12">
        <v>277</v>
      </c>
      <c r="AA190" s="2">
        <f>AA189+Tabla32037[[#This Row],[Incremento]]</f>
        <v>405087.06790501636</v>
      </c>
      <c r="AB190" s="2">
        <v>1624</v>
      </c>
      <c r="AC190" s="2"/>
      <c r="AD190" s="12">
        <v>277</v>
      </c>
      <c r="AE190" s="2">
        <f>AE189+Tabla32037[[#This Row],[Incremento]]</f>
        <v>522726.13581003266</v>
      </c>
      <c r="AF190" s="2">
        <v>1624</v>
      </c>
      <c r="AH190" s="12">
        <v>277</v>
      </c>
      <c r="AI190" s="2">
        <f>AI189+Tabla32037[[#This Row],[Incremento]]</f>
        <v>522726.13581003266</v>
      </c>
      <c r="AJ190" s="2">
        <v>1624</v>
      </c>
      <c r="AM190" s="34">
        <v>277</v>
      </c>
      <c r="AN190" s="32">
        <f>AN189+Tabla32037[[#This Row],[Incremento]]</f>
        <v>616837.39013404562</v>
      </c>
      <c r="AO190" s="32">
        <v>1624</v>
      </c>
      <c r="AQ190" s="12">
        <v>277</v>
      </c>
      <c r="AR190" s="2">
        <f>AR189+Tabla32037[[#This Row],[Incremento]]</f>
        <v>510962.22901953099</v>
      </c>
      <c r="AS190" s="2">
        <v>1624</v>
      </c>
      <c r="AU190" s="12">
        <v>277</v>
      </c>
      <c r="AV190" s="2">
        <f>AV189+Tabla32037[[#This Row],[Incremento]]</f>
        <v>701733.60438719997</v>
      </c>
      <c r="AW190" s="2">
        <v>1624</v>
      </c>
      <c r="AX190" s="2"/>
      <c r="AY190" s="12">
        <v>277</v>
      </c>
      <c r="AZ190" s="2">
        <f>AZ189+Tabla32037[[#This Row],[Incremento]]</f>
        <v>1895756.9533449123</v>
      </c>
      <c r="BA190" s="2">
        <v>1624</v>
      </c>
      <c r="BC190" s="12">
        <v>277</v>
      </c>
      <c r="BD190" s="2">
        <f>BD189+Tabla32037[[#This Row],[Incremento]]</f>
        <v>425543.20146240003</v>
      </c>
      <c r="BE190" s="2">
        <v>1624</v>
      </c>
    </row>
    <row r="191" spans="3:57" ht="17" customHeight="1" x14ac:dyDescent="0.2">
      <c r="C191" s="2"/>
      <c r="D191" s="2"/>
      <c r="F191" s="12">
        <v>278</v>
      </c>
      <c r="G191" s="2">
        <f>G190+Tabla32037[[#This Row],[Incremento]]</f>
        <v>531747.82281249994</v>
      </c>
      <c r="H191" s="2">
        <v>1624</v>
      </c>
      <c r="J191" s="12">
        <v>278</v>
      </c>
      <c r="K191" s="2">
        <f>K190+Tabla32037[[#This Row],[Incremento]]</f>
        <v>531747.82281249994</v>
      </c>
      <c r="L191" s="2">
        <v>1624</v>
      </c>
      <c r="N191" s="12">
        <v>278</v>
      </c>
      <c r="O191" s="2">
        <f>O190+Tabla32037[[#This Row],[Incremento]]</f>
        <v>445943.72655000002</v>
      </c>
      <c r="P191" s="2">
        <v>1624</v>
      </c>
      <c r="R191" s="12">
        <v>278</v>
      </c>
      <c r="S191" s="2">
        <f>S190+Tabla32037[[#This Row],[Incremento]]</f>
        <v>349847.3125</v>
      </c>
      <c r="T191" s="2">
        <v>1624</v>
      </c>
      <c r="V191" s="12">
        <v>278</v>
      </c>
      <c r="W191" s="2">
        <f>W190+Tabla32037[[#This Row],[Incremento]]</f>
        <v>877542.61494397931</v>
      </c>
      <c r="X191" s="2">
        <v>1624</v>
      </c>
      <c r="Y191" s="2"/>
      <c r="Z191" s="12">
        <v>278</v>
      </c>
      <c r="AA191" s="2">
        <f>AA190+Tabla32037[[#This Row],[Incremento]]</f>
        <v>406711.06790501636</v>
      </c>
      <c r="AB191" s="2">
        <v>1624</v>
      </c>
      <c r="AC191" s="2"/>
      <c r="AD191" s="12">
        <v>278</v>
      </c>
      <c r="AE191" s="2">
        <f>AE190+Tabla32037[[#This Row],[Incremento]]</f>
        <v>524350.13581003272</v>
      </c>
      <c r="AF191" s="2">
        <v>1624</v>
      </c>
      <c r="AH191" s="12">
        <v>278</v>
      </c>
      <c r="AI191" s="2">
        <f>AI190+Tabla32037[[#This Row],[Incremento]]</f>
        <v>524350.13581003272</v>
      </c>
      <c r="AJ191" s="2">
        <v>1624</v>
      </c>
      <c r="AM191" s="35">
        <v>278</v>
      </c>
      <c r="AN191" s="10">
        <f>AN190+Tabla32037[[#This Row],[Incremento]]</f>
        <v>618461.39013404562</v>
      </c>
      <c r="AO191" s="10">
        <v>1624</v>
      </c>
      <c r="AQ191" s="12">
        <v>278</v>
      </c>
      <c r="AR191" s="2">
        <f>AR190+Tabla32037[[#This Row],[Incremento]]</f>
        <v>512586.22901953099</v>
      </c>
      <c r="AS191" s="2">
        <v>1624</v>
      </c>
      <c r="AU191" s="12">
        <v>278</v>
      </c>
      <c r="AV191" s="2">
        <f>AV190+Tabla32037[[#This Row],[Incremento]]</f>
        <v>703357.60438719997</v>
      </c>
      <c r="AW191" s="2">
        <v>1624</v>
      </c>
      <c r="AX191" s="2"/>
      <c r="AY191" s="12">
        <v>278</v>
      </c>
      <c r="AZ191" s="2">
        <f>AZ190+Tabla32037[[#This Row],[Incremento]]</f>
        <v>1897380.9533449123</v>
      </c>
      <c r="BA191" s="2">
        <v>1624</v>
      </c>
      <c r="BC191" s="12">
        <v>278</v>
      </c>
      <c r="BD191" s="2">
        <f>BD190+Tabla32037[[#This Row],[Incremento]]</f>
        <v>427167.20146240003</v>
      </c>
      <c r="BE191" s="2">
        <v>1624</v>
      </c>
    </row>
    <row r="192" spans="3:57" ht="17" customHeight="1" x14ac:dyDescent="0.2">
      <c r="C192" s="2"/>
      <c r="D192" s="2"/>
      <c r="F192" s="12">
        <v>279</v>
      </c>
      <c r="G192" s="2">
        <f>G191+Tabla32037[[#This Row],[Incremento]]</f>
        <v>533371.82281249994</v>
      </c>
      <c r="H192" s="2">
        <v>1624</v>
      </c>
      <c r="J192" s="12">
        <v>279</v>
      </c>
      <c r="K192" s="2">
        <f>K191+Tabla32037[[#This Row],[Incremento]]</f>
        <v>533371.82281249994</v>
      </c>
      <c r="L192" s="2">
        <v>1624</v>
      </c>
      <c r="N192" s="12">
        <v>279</v>
      </c>
      <c r="O192" s="2">
        <f>O191+Tabla32037[[#This Row],[Incremento]]</f>
        <v>447567.72655000002</v>
      </c>
      <c r="P192" s="2">
        <v>1624</v>
      </c>
      <c r="R192" s="12">
        <v>279</v>
      </c>
      <c r="S192" s="2">
        <f>S191+Tabla32037[[#This Row],[Incremento]]</f>
        <v>351471.3125</v>
      </c>
      <c r="T192" s="2">
        <v>1624</v>
      </c>
      <c r="V192" s="12">
        <v>279</v>
      </c>
      <c r="W192" s="2">
        <f>W191+Tabla32037[[#This Row],[Incremento]]</f>
        <v>879166.61494397931</v>
      </c>
      <c r="X192" s="2">
        <v>1624</v>
      </c>
      <c r="Y192" s="2"/>
      <c r="Z192" s="12">
        <v>279</v>
      </c>
      <c r="AA192" s="2">
        <f>AA191+Tabla32037[[#This Row],[Incremento]]</f>
        <v>408335.06790501636</v>
      </c>
      <c r="AB192" s="2">
        <v>1624</v>
      </c>
      <c r="AC192" s="2"/>
      <c r="AD192" s="12">
        <v>279</v>
      </c>
      <c r="AE192" s="2">
        <f>AE191+Tabla32037[[#This Row],[Incremento]]</f>
        <v>525974.13581003272</v>
      </c>
      <c r="AF192" s="2">
        <v>1624</v>
      </c>
      <c r="AH192" s="12">
        <v>279</v>
      </c>
      <c r="AI192" s="2">
        <f>AI191+Tabla32037[[#This Row],[Incremento]]</f>
        <v>525974.13581003272</v>
      </c>
      <c r="AJ192" s="2">
        <v>1624</v>
      </c>
      <c r="AM192" s="34">
        <v>279</v>
      </c>
      <c r="AN192" s="32">
        <f>AN191+Tabla32037[[#This Row],[Incremento]]</f>
        <v>620085.39013404562</v>
      </c>
      <c r="AO192" s="32">
        <v>1624</v>
      </c>
      <c r="AQ192" s="12">
        <v>279</v>
      </c>
      <c r="AR192" s="2">
        <f>AR191+Tabla32037[[#This Row],[Incremento]]</f>
        <v>514210.22901953099</v>
      </c>
      <c r="AS192" s="2">
        <v>1624</v>
      </c>
      <c r="AU192" s="12">
        <v>279</v>
      </c>
      <c r="AV192" s="2">
        <f>AV191+Tabla32037[[#This Row],[Incremento]]</f>
        <v>704981.60438719997</v>
      </c>
      <c r="AW192" s="2">
        <v>1624</v>
      </c>
      <c r="AX192" s="2"/>
      <c r="AY192" s="12">
        <v>279</v>
      </c>
      <c r="AZ192" s="2">
        <f>AZ191+Tabla32037[[#This Row],[Incremento]]</f>
        <v>1899004.9533449123</v>
      </c>
      <c r="BA192" s="2">
        <v>1624</v>
      </c>
      <c r="BC192" s="12">
        <v>279</v>
      </c>
      <c r="BD192" s="2">
        <f>BD191+Tabla32037[[#This Row],[Incremento]]</f>
        <v>428791.20146240003</v>
      </c>
      <c r="BE192" s="2">
        <v>1624</v>
      </c>
    </row>
    <row r="193" spans="3:57" ht="17" customHeight="1" x14ac:dyDescent="0.2">
      <c r="C193" s="2"/>
      <c r="D193" s="2"/>
      <c r="F193" s="12">
        <v>280</v>
      </c>
      <c r="G193" s="2">
        <f>G192+Tabla32037[[#This Row],[Incremento]]</f>
        <v>534995.82281249994</v>
      </c>
      <c r="H193" s="2">
        <v>1624</v>
      </c>
      <c r="J193" s="12">
        <v>280</v>
      </c>
      <c r="K193" s="2">
        <f>K192+Tabla32037[[#This Row],[Incremento]]</f>
        <v>534995.82281249994</v>
      </c>
      <c r="L193" s="2">
        <v>1624</v>
      </c>
      <c r="N193" s="12">
        <v>280</v>
      </c>
      <c r="O193" s="2">
        <f>O192+Tabla32037[[#This Row],[Incremento]]</f>
        <v>449191.72655000002</v>
      </c>
      <c r="P193" s="2">
        <v>1624</v>
      </c>
      <c r="R193" s="12">
        <v>280</v>
      </c>
      <c r="S193" s="2">
        <f>S192+Tabla32037[[#This Row],[Incremento]]</f>
        <v>353095.3125</v>
      </c>
      <c r="T193" s="2">
        <v>1624</v>
      </c>
      <c r="V193" s="12">
        <v>280</v>
      </c>
      <c r="W193" s="2">
        <f>W192+Tabla32037[[#This Row],[Incremento]]</f>
        <v>880790.61494397931</v>
      </c>
      <c r="X193" s="2">
        <v>1624</v>
      </c>
      <c r="Y193" s="2"/>
      <c r="Z193" s="12">
        <v>280</v>
      </c>
      <c r="AA193" s="2">
        <f>AA192+Tabla32037[[#This Row],[Incremento]]</f>
        <v>409959.06790501636</v>
      </c>
      <c r="AB193" s="2">
        <v>1624</v>
      </c>
      <c r="AC193" s="2"/>
      <c r="AD193" s="12">
        <v>280</v>
      </c>
      <c r="AE193" s="2">
        <f>AE192+Tabla32037[[#This Row],[Incremento]]</f>
        <v>527598.13581003272</v>
      </c>
      <c r="AF193" s="2">
        <v>1624</v>
      </c>
      <c r="AH193" s="12">
        <v>280</v>
      </c>
      <c r="AI193" s="2">
        <f>AI192+Tabla32037[[#This Row],[Incremento]]</f>
        <v>527598.13581003272</v>
      </c>
      <c r="AJ193" s="2">
        <v>1624</v>
      </c>
      <c r="AM193" s="35">
        <v>280</v>
      </c>
      <c r="AN193" s="10">
        <f>AN192+Tabla32037[[#This Row],[Incremento]]</f>
        <v>621709.39013404562</v>
      </c>
      <c r="AO193" s="10">
        <v>1624</v>
      </c>
      <c r="AQ193" s="12">
        <v>280</v>
      </c>
      <c r="AR193" s="2">
        <f>AR192+Tabla32037[[#This Row],[Incremento]]</f>
        <v>515834.22901953099</v>
      </c>
      <c r="AS193" s="2">
        <v>1624</v>
      </c>
      <c r="AU193" s="12">
        <v>280</v>
      </c>
      <c r="AV193" s="2">
        <f>AV192+Tabla32037[[#This Row],[Incremento]]</f>
        <v>706605.60438719997</v>
      </c>
      <c r="AW193" s="2">
        <v>1624</v>
      </c>
      <c r="AX193" s="2"/>
      <c r="AY193" s="12">
        <v>280</v>
      </c>
      <c r="AZ193" s="2">
        <f>AZ192+Tabla32037[[#This Row],[Incremento]]</f>
        <v>1900628.9533449123</v>
      </c>
      <c r="BA193" s="2">
        <v>1624</v>
      </c>
      <c r="BC193" s="12">
        <v>280</v>
      </c>
      <c r="BD193" s="2">
        <f>BD192+Tabla32037[[#This Row],[Incremento]]</f>
        <v>430415.20146240003</v>
      </c>
      <c r="BE193" s="2">
        <v>1624</v>
      </c>
    </row>
    <row r="194" spans="3:57" ht="17" customHeight="1" x14ac:dyDescent="0.2">
      <c r="C194" s="2"/>
      <c r="D194" s="2"/>
      <c r="F194" s="12">
        <v>281</v>
      </c>
      <c r="G194" s="2">
        <f>G193+Tabla32037[[#This Row],[Incremento]]</f>
        <v>536619.82281249994</v>
      </c>
      <c r="H194" s="2">
        <v>1624</v>
      </c>
      <c r="J194" s="12">
        <v>281</v>
      </c>
      <c r="K194" s="2">
        <f>K193+Tabla32037[[#This Row],[Incremento]]</f>
        <v>536619.82281249994</v>
      </c>
      <c r="L194" s="2">
        <v>1624</v>
      </c>
      <c r="N194" s="12">
        <v>281</v>
      </c>
      <c r="O194" s="2">
        <f>O193+Tabla32037[[#This Row],[Incremento]]</f>
        <v>450815.72655000002</v>
      </c>
      <c r="P194" s="2">
        <v>1624</v>
      </c>
      <c r="R194" s="12">
        <v>281</v>
      </c>
      <c r="S194" s="2">
        <f>S193+Tabla32037[[#This Row],[Incremento]]</f>
        <v>354719.3125</v>
      </c>
      <c r="T194" s="2">
        <v>1624</v>
      </c>
      <c r="V194" s="12">
        <v>281</v>
      </c>
      <c r="W194" s="2">
        <f>W193+Tabla32037[[#This Row],[Incremento]]</f>
        <v>882414.61494397931</v>
      </c>
      <c r="X194" s="2">
        <v>1624</v>
      </c>
      <c r="Y194" s="2"/>
      <c r="Z194" s="12">
        <v>281</v>
      </c>
      <c r="AA194" s="2">
        <f>AA193+Tabla32037[[#This Row],[Incremento]]</f>
        <v>411583.06790501636</v>
      </c>
      <c r="AB194" s="2">
        <v>1624</v>
      </c>
      <c r="AC194" s="2"/>
      <c r="AD194" s="12">
        <v>281</v>
      </c>
      <c r="AE194" s="2">
        <f>AE193+Tabla32037[[#This Row],[Incremento]]</f>
        <v>529222.13581003272</v>
      </c>
      <c r="AF194" s="2">
        <v>1624</v>
      </c>
      <c r="AH194" s="12">
        <v>281</v>
      </c>
      <c r="AI194" s="2">
        <f>AI193+Tabla32037[[#This Row],[Incremento]]</f>
        <v>529222.13581003272</v>
      </c>
      <c r="AJ194" s="2">
        <v>1624</v>
      </c>
      <c r="AM194" s="34">
        <v>281</v>
      </c>
      <c r="AN194" s="32">
        <f>AN193+Tabla32037[[#This Row],[Incremento]]</f>
        <v>623333.39013404562</v>
      </c>
      <c r="AO194" s="32">
        <v>1624</v>
      </c>
      <c r="AQ194" s="12">
        <v>281</v>
      </c>
      <c r="AR194" s="2">
        <f>AR193+Tabla32037[[#This Row],[Incremento]]</f>
        <v>517458.22901953099</v>
      </c>
      <c r="AS194" s="2">
        <v>1624</v>
      </c>
      <c r="AU194" s="12">
        <v>281</v>
      </c>
      <c r="AV194" s="2">
        <f>AV193+Tabla32037[[#This Row],[Incremento]]</f>
        <v>708229.60438719997</v>
      </c>
      <c r="AW194" s="2">
        <v>1624</v>
      </c>
      <c r="AX194" s="2"/>
      <c r="AY194" s="12">
        <v>281</v>
      </c>
      <c r="AZ194" s="2">
        <f>AZ193+Tabla32037[[#This Row],[Incremento]]</f>
        <v>1902252.9533449123</v>
      </c>
      <c r="BA194" s="2">
        <v>1624</v>
      </c>
      <c r="BC194" s="12">
        <v>281</v>
      </c>
      <c r="BD194" s="2">
        <f>BD193+Tabla32037[[#This Row],[Incremento]]</f>
        <v>432039.20146240003</v>
      </c>
      <c r="BE194" s="2">
        <v>1624</v>
      </c>
    </row>
    <row r="195" spans="3:57" ht="17" customHeight="1" x14ac:dyDescent="0.2">
      <c r="C195" s="2"/>
      <c r="D195" s="2"/>
      <c r="F195" s="12">
        <v>282</v>
      </c>
      <c r="G195" s="2">
        <f>G194+Tabla32037[[#This Row],[Incremento]]</f>
        <v>538243.82281249994</v>
      </c>
      <c r="H195" s="2">
        <v>1624</v>
      </c>
      <c r="J195" s="12">
        <v>282</v>
      </c>
      <c r="K195" s="2">
        <f>K194+Tabla32037[[#This Row],[Incremento]]</f>
        <v>538243.82281249994</v>
      </c>
      <c r="L195" s="2">
        <v>1624</v>
      </c>
      <c r="N195" s="12">
        <v>282</v>
      </c>
      <c r="O195" s="2">
        <f>O194+Tabla32037[[#This Row],[Incremento]]</f>
        <v>452439.72655000002</v>
      </c>
      <c r="P195" s="2">
        <v>1624</v>
      </c>
      <c r="R195" s="12">
        <v>282</v>
      </c>
      <c r="S195" s="2">
        <f>S194+Tabla32037[[#This Row],[Incremento]]</f>
        <v>356343.3125</v>
      </c>
      <c r="T195" s="2">
        <v>1624</v>
      </c>
      <c r="V195" s="12">
        <v>282</v>
      </c>
      <c r="W195" s="2">
        <f>W194+Tabla32037[[#This Row],[Incremento]]</f>
        <v>884038.61494397931</v>
      </c>
      <c r="X195" s="2">
        <v>1624</v>
      </c>
      <c r="Y195" s="2"/>
      <c r="Z195" s="12">
        <v>282</v>
      </c>
      <c r="AA195" s="2">
        <f>AA194+Tabla32037[[#This Row],[Incremento]]</f>
        <v>413207.06790501636</v>
      </c>
      <c r="AB195" s="2">
        <v>1624</v>
      </c>
      <c r="AC195" s="2"/>
      <c r="AD195" s="12">
        <v>282</v>
      </c>
      <c r="AE195" s="2">
        <f>AE194+Tabla32037[[#This Row],[Incremento]]</f>
        <v>530846.13581003272</v>
      </c>
      <c r="AF195" s="2">
        <v>1624</v>
      </c>
      <c r="AH195" s="12">
        <v>282</v>
      </c>
      <c r="AI195" s="2">
        <f>AI194+Tabla32037[[#This Row],[Incremento]]</f>
        <v>530846.13581003272</v>
      </c>
      <c r="AJ195" s="2">
        <v>1624</v>
      </c>
      <c r="AM195" s="35">
        <v>282</v>
      </c>
      <c r="AN195" s="10">
        <f>AN194+Tabla32037[[#This Row],[Incremento]]</f>
        <v>624957.39013404562</v>
      </c>
      <c r="AO195" s="10">
        <v>1624</v>
      </c>
      <c r="AQ195" s="12">
        <v>282</v>
      </c>
      <c r="AR195" s="2">
        <f>AR194+Tabla32037[[#This Row],[Incremento]]</f>
        <v>519082.22901953099</v>
      </c>
      <c r="AS195" s="2">
        <v>1624</v>
      </c>
      <c r="AU195" s="12">
        <v>282</v>
      </c>
      <c r="AV195" s="2">
        <f>AV194+Tabla32037[[#This Row],[Incremento]]</f>
        <v>709853.60438719997</v>
      </c>
      <c r="AW195" s="2">
        <v>1624</v>
      </c>
      <c r="AX195" s="2"/>
      <c r="AY195" s="12">
        <v>282</v>
      </c>
      <c r="AZ195" s="2">
        <f>AZ194+Tabla32037[[#This Row],[Incremento]]</f>
        <v>1903876.9533449123</v>
      </c>
      <c r="BA195" s="2">
        <v>1624</v>
      </c>
      <c r="BC195" s="12">
        <v>282</v>
      </c>
      <c r="BD195" s="2">
        <f>BD194+Tabla32037[[#This Row],[Incremento]]</f>
        <v>433663.20146240003</v>
      </c>
      <c r="BE195" s="2">
        <v>1624</v>
      </c>
    </row>
    <row r="196" spans="3:57" ht="17" customHeight="1" x14ac:dyDescent="0.2">
      <c r="C196" s="2"/>
      <c r="D196" s="2"/>
      <c r="F196" s="12">
        <v>283</v>
      </c>
      <c r="G196" s="2">
        <f>G195+Tabla32037[[#This Row],[Incremento]]</f>
        <v>539867.82281249994</v>
      </c>
      <c r="H196" s="2">
        <v>1624</v>
      </c>
      <c r="J196" s="12">
        <v>283</v>
      </c>
      <c r="K196" s="2">
        <f>K195+Tabla32037[[#This Row],[Incremento]]</f>
        <v>539867.82281249994</v>
      </c>
      <c r="L196" s="2">
        <v>1624</v>
      </c>
      <c r="N196" s="12">
        <v>283</v>
      </c>
      <c r="O196" s="2">
        <f>O195+Tabla32037[[#This Row],[Incremento]]</f>
        <v>454063.72655000002</v>
      </c>
      <c r="P196" s="2">
        <v>1624</v>
      </c>
      <c r="R196" s="12">
        <v>283</v>
      </c>
      <c r="S196" s="2">
        <f>S195+Tabla32037[[#This Row],[Incremento]]</f>
        <v>357967.3125</v>
      </c>
      <c r="T196" s="2">
        <v>1624</v>
      </c>
      <c r="V196" s="12">
        <v>283</v>
      </c>
      <c r="W196" s="2">
        <f>W195+Tabla32037[[#This Row],[Incremento]]</f>
        <v>885662.61494397931</v>
      </c>
      <c r="X196" s="2">
        <v>1624</v>
      </c>
      <c r="Y196" s="2"/>
      <c r="Z196" s="12">
        <v>283</v>
      </c>
      <c r="AA196" s="2">
        <f>AA195+Tabla32037[[#This Row],[Incremento]]</f>
        <v>414831.06790501636</v>
      </c>
      <c r="AB196" s="2">
        <v>1624</v>
      </c>
      <c r="AC196" s="2"/>
      <c r="AD196" s="12">
        <v>283</v>
      </c>
      <c r="AE196" s="2">
        <f>AE195+Tabla32037[[#This Row],[Incremento]]</f>
        <v>532470.13581003272</v>
      </c>
      <c r="AF196" s="2">
        <v>1624</v>
      </c>
      <c r="AH196" s="12">
        <v>283</v>
      </c>
      <c r="AI196" s="2">
        <f>AI195+Tabla32037[[#This Row],[Incremento]]</f>
        <v>532470.13581003272</v>
      </c>
      <c r="AJ196" s="2">
        <v>1624</v>
      </c>
      <c r="AM196" s="34">
        <v>283</v>
      </c>
      <c r="AN196" s="32">
        <f>AN195+Tabla32037[[#This Row],[Incremento]]</f>
        <v>626581.39013404562</v>
      </c>
      <c r="AO196" s="32">
        <v>1624</v>
      </c>
      <c r="AQ196" s="12">
        <v>283</v>
      </c>
      <c r="AR196" s="2">
        <f>AR195+Tabla32037[[#This Row],[Incremento]]</f>
        <v>520706.22901953099</v>
      </c>
      <c r="AS196" s="2">
        <v>1624</v>
      </c>
      <c r="AU196" s="12">
        <v>283</v>
      </c>
      <c r="AV196" s="2">
        <f>AV195+Tabla32037[[#This Row],[Incremento]]</f>
        <v>711477.60438719997</v>
      </c>
      <c r="AW196" s="2">
        <v>1624</v>
      </c>
      <c r="AX196" s="2"/>
      <c r="AY196" s="12">
        <v>283</v>
      </c>
      <c r="AZ196" s="2">
        <f>AZ195+Tabla32037[[#This Row],[Incremento]]</f>
        <v>1905500.9533449123</v>
      </c>
      <c r="BA196" s="2">
        <v>1624</v>
      </c>
      <c r="BC196" s="12">
        <v>283</v>
      </c>
      <c r="BD196" s="2">
        <f>BD195+Tabla32037[[#This Row],[Incremento]]</f>
        <v>435287.20146240003</v>
      </c>
      <c r="BE196" s="2">
        <v>1624</v>
      </c>
    </row>
    <row r="197" spans="3:57" ht="17" customHeight="1" x14ac:dyDescent="0.2">
      <c r="C197" s="2"/>
      <c r="D197" s="2"/>
      <c r="F197" s="12">
        <v>284</v>
      </c>
      <c r="G197" s="2">
        <f>G196+Tabla32037[[#This Row],[Incremento]]</f>
        <v>541491.82281249994</v>
      </c>
      <c r="H197" s="2">
        <v>1624</v>
      </c>
      <c r="J197" s="12">
        <v>284</v>
      </c>
      <c r="K197" s="2">
        <f>K196+Tabla32037[[#This Row],[Incremento]]</f>
        <v>541491.82281249994</v>
      </c>
      <c r="L197" s="2">
        <v>1624</v>
      </c>
      <c r="N197" s="12">
        <v>284</v>
      </c>
      <c r="O197" s="2">
        <f>O196+Tabla32037[[#This Row],[Incremento]]</f>
        <v>455687.72655000002</v>
      </c>
      <c r="P197" s="2">
        <v>1624</v>
      </c>
      <c r="R197" s="12">
        <v>284</v>
      </c>
      <c r="S197" s="2">
        <f>S196+Tabla32037[[#This Row],[Incremento]]</f>
        <v>359591.3125</v>
      </c>
      <c r="T197" s="2">
        <v>1624</v>
      </c>
      <c r="V197" s="12">
        <v>284</v>
      </c>
      <c r="W197" s="2">
        <f>W196+Tabla32037[[#This Row],[Incremento]]</f>
        <v>887286.61494397931</v>
      </c>
      <c r="X197" s="2">
        <v>1624</v>
      </c>
      <c r="Y197" s="2"/>
      <c r="Z197" s="12">
        <v>284</v>
      </c>
      <c r="AA197" s="2">
        <f>AA196+Tabla32037[[#This Row],[Incremento]]</f>
        <v>416455.06790501636</v>
      </c>
      <c r="AB197" s="2">
        <v>1624</v>
      </c>
      <c r="AC197" s="2"/>
      <c r="AD197" s="12">
        <v>284</v>
      </c>
      <c r="AE197" s="2">
        <f>AE196+Tabla32037[[#This Row],[Incremento]]</f>
        <v>534094.13581003272</v>
      </c>
      <c r="AF197" s="2">
        <v>1624</v>
      </c>
      <c r="AH197" s="12">
        <v>284</v>
      </c>
      <c r="AI197" s="2">
        <f>AI196+Tabla32037[[#This Row],[Incremento]]</f>
        <v>534094.13581003272</v>
      </c>
      <c r="AJ197" s="2">
        <v>1624</v>
      </c>
      <c r="AM197" s="35">
        <v>284</v>
      </c>
      <c r="AN197" s="10">
        <f>AN196+Tabla32037[[#This Row],[Incremento]]</f>
        <v>628205.39013404562</v>
      </c>
      <c r="AO197" s="10">
        <v>1624</v>
      </c>
      <c r="AQ197" s="12">
        <v>284</v>
      </c>
      <c r="AR197" s="2">
        <f>AR196+Tabla32037[[#This Row],[Incremento]]</f>
        <v>522330.22901953099</v>
      </c>
      <c r="AS197" s="2">
        <v>1624</v>
      </c>
      <c r="AU197" s="12">
        <v>284</v>
      </c>
      <c r="AV197" s="2">
        <f>AV196+Tabla32037[[#This Row],[Incremento]]</f>
        <v>713101.60438719997</v>
      </c>
      <c r="AW197" s="2">
        <v>1624</v>
      </c>
      <c r="AX197" s="2"/>
      <c r="AY197" s="12">
        <v>284</v>
      </c>
      <c r="AZ197" s="2">
        <f>AZ196+Tabla32037[[#This Row],[Incremento]]</f>
        <v>1907124.9533449123</v>
      </c>
      <c r="BA197" s="2">
        <v>1624</v>
      </c>
      <c r="BC197" s="12">
        <v>284</v>
      </c>
      <c r="BD197" s="2">
        <f>BD196+Tabla32037[[#This Row],[Incremento]]</f>
        <v>436911.20146240003</v>
      </c>
      <c r="BE197" s="2">
        <v>1624</v>
      </c>
    </row>
    <row r="198" spans="3:57" ht="17" customHeight="1" x14ac:dyDescent="0.2">
      <c r="C198" s="2"/>
      <c r="D198" s="2"/>
      <c r="F198" s="12">
        <v>285</v>
      </c>
      <c r="G198" s="2">
        <f>G197+Tabla32037[[#This Row],[Incremento]]</f>
        <v>543115.82281249994</v>
      </c>
      <c r="H198" s="2">
        <v>1624</v>
      </c>
      <c r="J198" s="12">
        <v>285</v>
      </c>
      <c r="K198" s="2">
        <f>K197+Tabla32037[[#This Row],[Incremento]]</f>
        <v>543115.82281249994</v>
      </c>
      <c r="L198" s="2">
        <v>1624</v>
      </c>
      <c r="N198" s="12">
        <v>285</v>
      </c>
      <c r="O198" s="2">
        <f>O197+Tabla32037[[#This Row],[Incremento]]</f>
        <v>457311.72655000002</v>
      </c>
      <c r="P198" s="2">
        <v>1624</v>
      </c>
      <c r="R198" s="12">
        <v>285</v>
      </c>
      <c r="S198" s="2">
        <f>S197+Tabla32037[[#This Row],[Incremento]]</f>
        <v>361215.3125</v>
      </c>
      <c r="T198" s="2">
        <v>1624</v>
      </c>
      <c r="V198" s="12">
        <v>285</v>
      </c>
      <c r="W198" s="2">
        <f>W197+Tabla32037[[#This Row],[Incremento]]</f>
        <v>888910.61494397931</v>
      </c>
      <c r="X198" s="2">
        <v>1624</v>
      </c>
      <c r="Y198" s="2"/>
      <c r="Z198" s="12">
        <v>285</v>
      </c>
      <c r="AA198" s="2">
        <f>AA197+Tabla32037[[#This Row],[Incremento]]</f>
        <v>418079.06790501636</v>
      </c>
      <c r="AB198" s="2">
        <v>1624</v>
      </c>
      <c r="AC198" s="2"/>
      <c r="AD198" s="12">
        <v>285</v>
      </c>
      <c r="AE198" s="2">
        <f>AE197+Tabla32037[[#This Row],[Incremento]]</f>
        <v>535718.13581003272</v>
      </c>
      <c r="AF198" s="2">
        <v>1624</v>
      </c>
      <c r="AH198" s="12">
        <v>285</v>
      </c>
      <c r="AI198" s="2">
        <f>AI197+Tabla32037[[#This Row],[Incremento]]</f>
        <v>535718.13581003272</v>
      </c>
      <c r="AJ198" s="2">
        <v>1624</v>
      </c>
      <c r="AM198" s="34">
        <v>285</v>
      </c>
      <c r="AN198" s="32">
        <f>AN197+Tabla32037[[#This Row],[Incremento]]</f>
        <v>629829.39013404562</v>
      </c>
      <c r="AO198" s="32">
        <v>1624</v>
      </c>
      <c r="AQ198" s="12">
        <v>285</v>
      </c>
      <c r="AR198" s="2">
        <f>AR197+Tabla32037[[#This Row],[Incremento]]</f>
        <v>523954.22901953099</v>
      </c>
      <c r="AS198" s="2">
        <v>1624</v>
      </c>
      <c r="AU198" s="12">
        <v>285</v>
      </c>
      <c r="AV198" s="2">
        <f>AV197+Tabla32037[[#This Row],[Incremento]]</f>
        <v>714725.60438719997</v>
      </c>
      <c r="AW198" s="2">
        <v>1624</v>
      </c>
      <c r="AX198" s="2"/>
      <c r="AY198" s="12">
        <v>285</v>
      </c>
      <c r="AZ198" s="2">
        <f>AZ197+Tabla32037[[#This Row],[Incremento]]</f>
        <v>1908748.9533449123</v>
      </c>
      <c r="BA198" s="2">
        <v>1624</v>
      </c>
      <c r="BC198" s="12">
        <v>285</v>
      </c>
      <c r="BD198" s="2">
        <f>BD197+Tabla32037[[#This Row],[Incremento]]</f>
        <v>438535.20146240003</v>
      </c>
      <c r="BE198" s="2">
        <v>1624</v>
      </c>
    </row>
    <row r="199" spans="3:57" ht="17" customHeight="1" x14ac:dyDescent="0.2">
      <c r="C199" s="2"/>
      <c r="D199" s="2"/>
      <c r="F199" s="12">
        <v>286</v>
      </c>
      <c r="G199" s="2">
        <f>G198+Tabla32037[[#This Row],[Incremento]]</f>
        <v>544739.82281249994</v>
      </c>
      <c r="H199" s="2">
        <v>1624</v>
      </c>
      <c r="J199" s="12">
        <v>286</v>
      </c>
      <c r="K199" s="2">
        <f>K198+Tabla32037[[#This Row],[Incremento]]</f>
        <v>544739.82281249994</v>
      </c>
      <c r="L199" s="2">
        <v>1624</v>
      </c>
      <c r="N199" s="12">
        <v>286</v>
      </c>
      <c r="O199" s="2">
        <f>O198+Tabla32037[[#This Row],[Incremento]]</f>
        <v>458935.72655000002</v>
      </c>
      <c r="P199" s="2">
        <v>1624</v>
      </c>
      <c r="R199" s="12">
        <v>286</v>
      </c>
      <c r="S199" s="2">
        <f>S198+Tabla32037[[#This Row],[Incremento]]</f>
        <v>362839.3125</v>
      </c>
      <c r="T199" s="2">
        <v>1624</v>
      </c>
      <c r="V199" s="12">
        <v>286</v>
      </c>
      <c r="W199" s="2">
        <f>W198+Tabla32037[[#This Row],[Incremento]]</f>
        <v>890534.61494397931</v>
      </c>
      <c r="X199" s="2">
        <v>1624</v>
      </c>
      <c r="Y199" s="2"/>
      <c r="Z199" s="12">
        <v>286</v>
      </c>
      <c r="AA199" s="2">
        <f>AA198+Tabla32037[[#This Row],[Incremento]]</f>
        <v>419703.06790501636</v>
      </c>
      <c r="AB199" s="2">
        <v>1624</v>
      </c>
      <c r="AC199" s="2"/>
      <c r="AD199" s="12">
        <v>286</v>
      </c>
      <c r="AE199" s="2">
        <f>AE198+Tabla32037[[#This Row],[Incremento]]</f>
        <v>537342.13581003272</v>
      </c>
      <c r="AF199" s="2">
        <v>1624</v>
      </c>
      <c r="AH199" s="12">
        <v>286</v>
      </c>
      <c r="AI199" s="2">
        <f>AI198+Tabla32037[[#This Row],[Incremento]]</f>
        <v>537342.13581003272</v>
      </c>
      <c r="AJ199" s="2">
        <v>1624</v>
      </c>
      <c r="AM199" s="35">
        <v>286</v>
      </c>
      <c r="AN199" s="10">
        <f>AN198+Tabla32037[[#This Row],[Incremento]]</f>
        <v>631453.39013404562</v>
      </c>
      <c r="AO199" s="10">
        <v>1624</v>
      </c>
      <c r="AQ199" s="12">
        <v>286</v>
      </c>
      <c r="AR199" s="2">
        <f>AR198+Tabla32037[[#This Row],[Incremento]]</f>
        <v>525578.22901953105</v>
      </c>
      <c r="AS199" s="2">
        <v>1624</v>
      </c>
      <c r="AU199" s="12">
        <v>286</v>
      </c>
      <c r="AV199" s="2">
        <f>AV198+Tabla32037[[#This Row],[Incremento]]</f>
        <v>716349.60438719997</v>
      </c>
      <c r="AW199" s="2">
        <v>1624</v>
      </c>
      <c r="AX199" s="2"/>
      <c r="AY199" s="12">
        <v>286</v>
      </c>
      <c r="AZ199" s="2">
        <f>AZ198+Tabla32037[[#This Row],[Incremento]]</f>
        <v>1910372.9533449123</v>
      </c>
      <c r="BA199" s="2">
        <v>1624</v>
      </c>
      <c r="BC199" s="12">
        <v>286</v>
      </c>
      <c r="BD199" s="2">
        <f>BD198+Tabla32037[[#This Row],[Incremento]]</f>
        <v>440159.20146240003</v>
      </c>
      <c r="BE199" s="2">
        <v>1624</v>
      </c>
    </row>
    <row r="200" spans="3:57" ht="17" customHeight="1" x14ac:dyDescent="0.2">
      <c r="C200" s="2"/>
      <c r="D200" s="2"/>
      <c r="F200" s="12">
        <v>287</v>
      </c>
      <c r="G200" s="2">
        <f>G199+Tabla32037[[#This Row],[Incremento]]</f>
        <v>546363.82281249994</v>
      </c>
      <c r="H200" s="2">
        <v>1624</v>
      </c>
      <c r="J200" s="12">
        <v>287</v>
      </c>
      <c r="K200" s="2">
        <f>K199+Tabla32037[[#This Row],[Incremento]]</f>
        <v>546363.82281249994</v>
      </c>
      <c r="L200" s="2">
        <v>1624</v>
      </c>
      <c r="N200" s="12">
        <v>287</v>
      </c>
      <c r="O200" s="2">
        <f>O199+Tabla32037[[#This Row],[Incremento]]</f>
        <v>460559.72655000002</v>
      </c>
      <c r="P200" s="2">
        <v>1624</v>
      </c>
      <c r="R200" s="12">
        <v>287</v>
      </c>
      <c r="S200" s="2">
        <f>S199+Tabla32037[[#This Row],[Incremento]]</f>
        <v>364463.3125</v>
      </c>
      <c r="T200" s="2">
        <v>1624</v>
      </c>
      <c r="V200" s="12">
        <v>287</v>
      </c>
      <c r="W200" s="2">
        <f>W199+Tabla32037[[#This Row],[Incremento]]</f>
        <v>892158.61494397931</v>
      </c>
      <c r="X200" s="2">
        <v>1624</v>
      </c>
      <c r="Y200" s="2"/>
      <c r="Z200" s="12">
        <v>287</v>
      </c>
      <c r="AA200" s="2">
        <f>AA199+Tabla32037[[#This Row],[Incremento]]</f>
        <v>421327.06790501636</v>
      </c>
      <c r="AB200" s="2">
        <v>1624</v>
      </c>
      <c r="AC200" s="2"/>
      <c r="AD200" s="12">
        <v>287</v>
      </c>
      <c r="AE200" s="2">
        <f>AE199+Tabla32037[[#This Row],[Incremento]]</f>
        <v>538966.13581003272</v>
      </c>
      <c r="AF200" s="2">
        <v>1624</v>
      </c>
      <c r="AH200" s="12">
        <v>287</v>
      </c>
      <c r="AI200" s="2">
        <f>AI199+Tabla32037[[#This Row],[Incremento]]</f>
        <v>538966.13581003272</v>
      </c>
      <c r="AJ200" s="2">
        <v>1624</v>
      </c>
      <c r="AM200" s="34">
        <v>287</v>
      </c>
      <c r="AN200" s="32">
        <f>AN199+Tabla32037[[#This Row],[Incremento]]</f>
        <v>633077.39013404562</v>
      </c>
      <c r="AO200" s="32">
        <v>1624</v>
      </c>
      <c r="AQ200" s="12">
        <v>287</v>
      </c>
      <c r="AR200" s="2">
        <f>AR199+Tabla32037[[#This Row],[Incremento]]</f>
        <v>527202.22901953105</v>
      </c>
      <c r="AS200" s="2">
        <v>1624</v>
      </c>
      <c r="AU200" s="12">
        <v>287</v>
      </c>
      <c r="AV200" s="2">
        <f>AV199+Tabla32037[[#This Row],[Incremento]]</f>
        <v>717973.60438719997</v>
      </c>
      <c r="AW200" s="2">
        <v>1624</v>
      </c>
      <c r="AX200" s="2"/>
      <c r="AY200" s="12">
        <v>287</v>
      </c>
      <c r="AZ200" s="2">
        <f>AZ199+Tabla32037[[#This Row],[Incremento]]</f>
        <v>1911996.9533449123</v>
      </c>
      <c r="BA200" s="2">
        <v>1624</v>
      </c>
      <c r="BC200" s="12">
        <v>287</v>
      </c>
      <c r="BD200" s="2">
        <f>BD199+Tabla32037[[#This Row],[Incremento]]</f>
        <v>441783.20146240003</v>
      </c>
      <c r="BE200" s="2">
        <v>1624</v>
      </c>
    </row>
    <row r="201" spans="3:57" ht="17" customHeight="1" x14ac:dyDescent="0.2">
      <c r="C201" s="2"/>
      <c r="D201" s="2"/>
      <c r="F201" s="12">
        <v>288</v>
      </c>
      <c r="G201" s="2">
        <f>G200+Tabla32037[[#This Row],[Incremento]]</f>
        <v>547987.82281249994</v>
      </c>
      <c r="H201" s="2">
        <v>1624</v>
      </c>
      <c r="J201" s="12">
        <v>288</v>
      </c>
      <c r="K201" s="2">
        <f>K200+Tabla32037[[#This Row],[Incremento]]</f>
        <v>547987.82281249994</v>
      </c>
      <c r="L201" s="2">
        <v>1624</v>
      </c>
      <c r="N201" s="12">
        <v>288</v>
      </c>
      <c r="O201" s="2">
        <f>O200+Tabla32037[[#This Row],[Incremento]]</f>
        <v>462183.72655000002</v>
      </c>
      <c r="P201" s="2">
        <v>1624</v>
      </c>
      <c r="R201" s="12">
        <v>288</v>
      </c>
      <c r="S201" s="2">
        <f>S200+Tabla32037[[#This Row],[Incremento]]</f>
        <v>366087.3125</v>
      </c>
      <c r="T201" s="2">
        <v>1624</v>
      </c>
      <c r="V201" s="12">
        <v>288</v>
      </c>
      <c r="W201" s="2">
        <f>W200+Tabla32037[[#This Row],[Incremento]]</f>
        <v>893782.61494397931</v>
      </c>
      <c r="X201" s="2">
        <v>1624</v>
      </c>
      <c r="Y201" s="2"/>
      <c r="Z201" s="12">
        <v>288</v>
      </c>
      <c r="AA201" s="2">
        <f>AA200+Tabla32037[[#This Row],[Incremento]]</f>
        <v>422951.06790501636</v>
      </c>
      <c r="AB201" s="2">
        <v>1624</v>
      </c>
      <c r="AC201" s="2"/>
      <c r="AD201" s="12">
        <v>288</v>
      </c>
      <c r="AE201" s="2">
        <f>AE200+Tabla32037[[#This Row],[Incremento]]</f>
        <v>540590.13581003272</v>
      </c>
      <c r="AF201" s="2">
        <v>1624</v>
      </c>
      <c r="AH201" s="12">
        <v>288</v>
      </c>
      <c r="AI201" s="2">
        <f>AI200+Tabla32037[[#This Row],[Incremento]]</f>
        <v>540590.13581003272</v>
      </c>
      <c r="AJ201" s="2">
        <v>1624</v>
      </c>
      <c r="AM201" s="35">
        <v>288</v>
      </c>
      <c r="AN201" s="10">
        <f>AN200+Tabla32037[[#This Row],[Incremento]]</f>
        <v>634701.39013404562</v>
      </c>
      <c r="AO201" s="10">
        <v>1624</v>
      </c>
      <c r="AQ201" s="12">
        <v>288</v>
      </c>
      <c r="AR201" s="2">
        <f>AR200+Tabla32037[[#This Row],[Incremento]]</f>
        <v>528826.22901953105</v>
      </c>
      <c r="AS201" s="2">
        <v>1624</v>
      </c>
      <c r="AU201" s="12">
        <v>288</v>
      </c>
      <c r="AV201" s="2">
        <f>AV200+Tabla32037[[#This Row],[Incremento]]</f>
        <v>719597.60438719997</v>
      </c>
      <c r="AW201" s="2">
        <v>1624</v>
      </c>
      <c r="AX201" s="2"/>
      <c r="AY201" s="12">
        <v>288</v>
      </c>
      <c r="AZ201" s="2">
        <f>AZ200+Tabla32037[[#This Row],[Incremento]]</f>
        <v>1913620.9533449123</v>
      </c>
      <c r="BA201" s="2">
        <v>1624</v>
      </c>
      <c r="BC201" s="12">
        <v>288</v>
      </c>
      <c r="BD201" s="2">
        <f>BD200+Tabla32037[[#This Row],[Incremento]]</f>
        <v>443407.20146240003</v>
      </c>
      <c r="BE201" s="2">
        <v>1624</v>
      </c>
    </row>
    <row r="202" spans="3:57" ht="17" customHeight="1" x14ac:dyDescent="0.2">
      <c r="C202" s="2"/>
      <c r="D202" s="2"/>
      <c r="F202" s="12">
        <v>289</v>
      </c>
      <c r="G202" s="2">
        <f>G201+Tabla32037[[#This Row],[Incremento]]</f>
        <v>549611.82281249994</v>
      </c>
      <c r="H202" s="2">
        <v>1624</v>
      </c>
      <c r="J202" s="12">
        <v>289</v>
      </c>
      <c r="K202" s="2">
        <f>K201+Tabla32037[[#This Row],[Incremento]]</f>
        <v>549611.82281249994</v>
      </c>
      <c r="L202" s="2">
        <v>1624</v>
      </c>
      <c r="N202" s="12">
        <v>289</v>
      </c>
      <c r="O202" s="2">
        <f>O201+Tabla32037[[#This Row],[Incremento]]</f>
        <v>463807.72655000002</v>
      </c>
      <c r="P202" s="2">
        <v>1624</v>
      </c>
      <c r="R202" s="12">
        <v>289</v>
      </c>
      <c r="S202" s="2">
        <f>S201+Tabla32037[[#This Row],[Incremento]]</f>
        <v>367711.3125</v>
      </c>
      <c r="T202" s="2">
        <v>1624</v>
      </c>
      <c r="V202" s="12">
        <v>289</v>
      </c>
      <c r="W202" s="2">
        <f>W201+Tabla32037[[#This Row],[Incremento]]</f>
        <v>895406.61494397931</v>
      </c>
      <c r="X202" s="2">
        <v>1624</v>
      </c>
      <c r="Y202" s="2"/>
      <c r="Z202" s="12">
        <v>289</v>
      </c>
      <c r="AA202" s="2">
        <f>AA201+Tabla32037[[#This Row],[Incremento]]</f>
        <v>424575.06790501636</v>
      </c>
      <c r="AB202" s="2">
        <v>1624</v>
      </c>
      <c r="AC202" s="2"/>
      <c r="AD202" s="12">
        <v>289</v>
      </c>
      <c r="AE202" s="2">
        <f>AE201+Tabla32037[[#This Row],[Incremento]]</f>
        <v>542214.13581003272</v>
      </c>
      <c r="AF202" s="2">
        <v>1624</v>
      </c>
      <c r="AH202" s="12">
        <v>289</v>
      </c>
      <c r="AI202" s="2">
        <f>AI201+Tabla32037[[#This Row],[Incremento]]</f>
        <v>542214.13581003272</v>
      </c>
      <c r="AJ202" s="2">
        <v>1624</v>
      </c>
      <c r="AM202" s="34">
        <v>289</v>
      </c>
      <c r="AN202" s="32">
        <f>AN201+Tabla32037[[#This Row],[Incremento]]</f>
        <v>636325.39013404562</v>
      </c>
      <c r="AO202" s="32">
        <v>1624</v>
      </c>
      <c r="AQ202" s="12">
        <v>289</v>
      </c>
      <c r="AR202" s="2">
        <f>AR201+Tabla32037[[#This Row],[Incremento]]</f>
        <v>530450.22901953105</v>
      </c>
      <c r="AS202" s="2">
        <v>1624</v>
      </c>
      <c r="AU202" s="12">
        <v>289</v>
      </c>
      <c r="AV202" s="2">
        <f>AV201+Tabla32037[[#This Row],[Incremento]]</f>
        <v>721221.60438719997</v>
      </c>
      <c r="AW202" s="2">
        <v>1624</v>
      </c>
      <c r="AX202" s="2"/>
      <c r="AY202" s="12">
        <v>289</v>
      </c>
      <c r="AZ202" s="2">
        <f>AZ201+Tabla32037[[#This Row],[Incremento]]</f>
        <v>1915244.9533449123</v>
      </c>
      <c r="BA202" s="2">
        <v>1624</v>
      </c>
      <c r="BC202" s="12">
        <v>289</v>
      </c>
      <c r="BD202" s="2">
        <f>BD201+Tabla32037[[#This Row],[Incremento]]</f>
        <v>445031.20146240003</v>
      </c>
      <c r="BE202" s="2">
        <v>1624</v>
      </c>
    </row>
    <row r="203" spans="3:57" ht="17" customHeight="1" x14ac:dyDescent="0.2">
      <c r="C203" s="2"/>
      <c r="D203" s="2"/>
      <c r="F203" s="12">
        <v>290</v>
      </c>
      <c r="G203" s="2">
        <f>G202+Tabla32037[[#This Row],[Incremento]]</f>
        <v>551235.82281249994</v>
      </c>
      <c r="H203" s="2">
        <v>1624</v>
      </c>
      <c r="J203" s="12">
        <v>290</v>
      </c>
      <c r="K203" s="2">
        <f>K202+Tabla32037[[#This Row],[Incremento]]</f>
        <v>551235.82281249994</v>
      </c>
      <c r="L203" s="2">
        <v>1624</v>
      </c>
      <c r="N203" s="12">
        <v>290</v>
      </c>
      <c r="O203" s="2">
        <f>O202+Tabla32037[[#This Row],[Incremento]]</f>
        <v>465431.72655000002</v>
      </c>
      <c r="P203" s="2">
        <v>1624</v>
      </c>
      <c r="R203" s="12">
        <v>290</v>
      </c>
      <c r="S203" s="2">
        <f>S202+Tabla32037[[#This Row],[Incremento]]</f>
        <v>369335.3125</v>
      </c>
      <c r="T203" s="2">
        <v>1624</v>
      </c>
      <c r="V203" s="12">
        <v>290</v>
      </c>
      <c r="W203" s="2">
        <f>W202+Tabla32037[[#This Row],[Incremento]]</f>
        <v>897030.61494397931</v>
      </c>
      <c r="X203" s="2">
        <v>1624</v>
      </c>
      <c r="Y203" s="2"/>
      <c r="Z203" s="12">
        <v>290</v>
      </c>
      <c r="AA203" s="2">
        <f>AA202+Tabla32037[[#This Row],[Incremento]]</f>
        <v>426199.06790501636</v>
      </c>
      <c r="AB203" s="2">
        <v>1624</v>
      </c>
      <c r="AC203" s="2"/>
      <c r="AD203" s="12">
        <v>290</v>
      </c>
      <c r="AE203" s="2">
        <f>AE202+Tabla32037[[#This Row],[Incremento]]</f>
        <v>543838.13581003272</v>
      </c>
      <c r="AF203" s="2">
        <v>1624</v>
      </c>
      <c r="AH203" s="12">
        <v>290</v>
      </c>
      <c r="AI203" s="2">
        <f>AI202+Tabla32037[[#This Row],[Incremento]]</f>
        <v>543838.13581003272</v>
      </c>
      <c r="AJ203" s="2">
        <v>1624</v>
      </c>
      <c r="AM203" s="35">
        <v>290</v>
      </c>
      <c r="AN203" s="10">
        <f>AN202+Tabla32037[[#This Row],[Incremento]]</f>
        <v>637949.39013404562</v>
      </c>
      <c r="AO203" s="10">
        <v>1624</v>
      </c>
      <c r="AQ203" s="12">
        <v>290</v>
      </c>
      <c r="AR203" s="2">
        <f>AR202+Tabla32037[[#This Row],[Incremento]]</f>
        <v>532074.22901953105</v>
      </c>
      <c r="AS203" s="2">
        <v>1624</v>
      </c>
      <c r="AU203" s="12">
        <v>290</v>
      </c>
      <c r="AV203" s="2">
        <f>AV202+Tabla32037[[#This Row],[Incremento]]</f>
        <v>722845.60438719997</v>
      </c>
      <c r="AW203" s="2">
        <v>1624</v>
      </c>
      <c r="AX203" s="2"/>
      <c r="AY203" s="12">
        <v>290</v>
      </c>
      <c r="AZ203" s="2">
        <f>AZ202+Tabla32037[[#This Row],[Incremento]]</f>
        <v>1916868.9533449123</v>
      </c>
      <c r="BA203" s="2">
        <v>1624</v>
      </c>
      <c r="BC203" s="12">
        <v>290</v>
      </c>
      <c r="BD203" s="2">
        <f>BD202+Tabla32037[[#This Row],[Incremento]]</f>
        <v>446655.20146240003</v>
      </c>
      <c r="BE203" s="2">
        <v>1624</v>
      </c>
    </row>
    <row r="204" spans="3:57" ht="17" customHeight="1" x14ac:dyDescent="0.2">
      <c r="C204" s="2"/>
      <c r="D204" s="2"/>
      <c r="F204" s="12">
        <v>291</v>
      </c>
      <c r="G204" s="2">
        <f>G203+Tabla32037[[#This Row],[Incremento]]</f>
        <v>552859.82281249994</v>
      </c>
      <c r="H204" s="2">
        <v>1624</v>
      </c>
      <c r="J204" s="12">
        <v>291</v>
      </c>
      <c r="K204" s="2">
        <f>K203+Tabla32037[[#This Row],[Incremento]]</f>
        <v>552859.82281249994</v>
      </c>
      <c r="L204" s="2">
        <v>1624</v>
      </c>
      <c r="N204" s="12">
        <v>291</v>
      </c>
      <c r="O204" s="2">
        <f>O203+Tabla32037[[#This Row],[Incremento]]</f>
        <v>467055.72655000002</v>
      </c>
      <c r="P204" s="2">
        <v>1624</v>
      </c>
      <c r="R204" s="12">
        <v>291</v>
      </c>
      <c r="S204" s="2">
        <f>S203+Tabla32037[[#This Row],[Incremento]]</f>
        <v>370959.3125</v>
      </c>
      <c r="T204" s="2">
        <v>1624</v>
      </c>
      <c r="V204" s="12">
        <v>291</v>
      </c>
      <c r="W204" s="2">
        <f>W203+Tabla32037[[#This Row],[Incremento]]</f>
        <v>898654.61494397931</v>
      </c>
      <c r="X204" s="2">
        <v>1624</v>
      </c>
      <c r="Y204" s="2"/>
      <c r="Z204" s="12">
        <v>291</v>
      </c>
      <c r="AA204" s="2">
        <f>AA203+Tabla32037[[#This Row],[Incremento]]</f>
        <v>427823.06790501636</v>
      </c>
      <c r="AB204" s="2">
        <v>1624</v>
      </c>
      <c r="AC204" s="2"/>
      <c r="AD204" s="12">
        <v>291</v>
      </c>
      <c r="AE204" s="2">
        <f>AE203+Tabla32037[[#This Row],[Incremento]]</f>
        <v>545462.13581003272</v>
      </c>
      <c r="AF204" s="2">
        <v>1624</v>
      </c>
      <c r="AH204" s="12">
        <v>291</v>
      </c>
      <c r="AI204" s="2">
        <f>AI203+Tabla32037[[#This Row],[Incremento]]</f>
        <v>545462.13581003272</v>
      </c>
      <c r="AJ204" s="2">
        <v>1624</v>
      </c>
      <c r="AM204" s="34">
        <v>291</v>
      </c>
      <c r="AN204" s="32">
        <f>AN203+Tabla32037[[#This Row],[Incremento]]</f>
        <v>639573.39013404562</v>
      </c>
      <c r="AO204" s="32">
        <v>1624</v>
      </c>
      <c r="AQ204" s="12">
        <v>291</v>
      </c>
      <c r="AR204" s="2">
        <f>AR203+Tabla32037[[#This Row],[Incremento]]</f>
        <v>533698.22901953105</v>
      </c>
      <c r="AS204" s="2">
        <v>1624</v>
      </c>
      <c r="AU204" s="12">
        <v>291</v>
      </c>
      <c r="AV204" s="2">
        <f>AV203+Tabla32037[[#This Row],[Incremento]]</f>
        <v>724469.60438719997</v>
      </c>
      <c r="AW204" s="2">
        <v>1624</v>
      </c>
      <c r="AX204" s="2"/>
      <c r="AY204" s="12">
        <v>291</v>
      </c>
      <c r="AZ204" s="2">
        <f>AZ203+Tabla32037[[#This Row],[Incremento]]</f>
        <v>1918492.9533449123</v>
      </c>
      <c r="BA204" s="2">
        <v>1624</v>
      </c>
      <c r="BC204" s="12">
        <v>291</v>
      </c>
      <c r="BD204" s="2">
        <f>BD203+Tabla32037[[#This Row],[Incremento]]</f>
        <v>448279.20146240003</v>
      </c>
      <c r="BE204" s="2">
        <v>1624</v>
      </c>
    </row>
    <row r="205" spans="3:57" ht="17" customHeight="1" x14ac:dyDescent="0.2">
      <c r="C205" s="2"/>
      <c r="D205" s="2"/>
      <c r="F205" s="12">
        <v>292</v>
      </c>
      <c r="G205" s="2">
        <f>G204+Tabla32037[[#This Row],[Incremento]]</f>
        <v>554483.82281249994</v>
      </c>
      <c r="H205" s="2">
        <v>1624</v>
      </c>
      <c r="J205" s="12">
        <v>292</v>
      </c>
      <c r="K205" s="2">
        <f>K204+Tabla32037[[#This Row],[Incremento]]</f>
        <v>554483.82281249994</v>
      </c>
      <c r="L205" s="2">
        <v>1624</v>
      </c>
      <c r="N205" s="12">
        <v>292</v>
      </c>
      <c r="O205" s="2">
        <f>O204+Tabla32037[[#This Row],[Incremento]]</f>
        <v>468679.72655000002</v>
      </c>
      <c r="P205" s="2">
        <v>1624</v>
      </c>
      <c r="R205" s="12">
        <v>292</v>
      </c>
      <c r="S205" s="2">
        <f>S204+Tabla32037[[#This Row],[Incremento]]</f>
        <v>372583.3125</v>
      </c>
      <c r="T205" s="2">
        <v>1624</v>
      </c>
      <c r="V205" s="12">
        <v>292</v>
      </c>
      <c r="W205" s="2">
        <f>W204+Tabla32037[[#This Row],[Incremento]]</f>
        <v>900278.61494397931</v>
      </c>
      <c r="X205" s="2">
        <v>1624</v>
      </c>
      <c r="Y205" s="2"/>
      <c r="Z205" s="12">
        <v>292</v>
      </c>
      <c r="AA205" s="2">
        <f>AA204+Tabla32037[[#This Row],[Incremento]]</f>
        <v>429447.06790501636</v>
      </c>
      <c r="AB205" s="2">
        <v>1624</v>
      </c>
      <c r="AC205" s="2"/>
      <c r="AD205" s="12">
        <v>292</v>
      </c>
      <c r="AE205" s="2">
        <f>AE204+Tabla32037[[#This Row],[Incremento]]</f>
        <v>547086.13581003272</v>
      </c>
      <c r="AF205" s="2">
        <v>1624</v>
      </c>
      <c r="AH205" s="12">
        <v>292</v>
      </c>
      <c r="AI205" s="2">
        <f>AI204+Tabla32037[[#This Row],[Incremento]]</f>
        <v>547086.13581003272</v>
      </c>
      <c r="AJ205" s="2">
        <v>1624</v>
      </c>
      <c r="AM205" s="35">
        <v>292</v>
      </c>
      <c r="AN205" s="10">
        <f>AN204+Tabla32037[[#This Row],[Incremento]]</f>
        <v>641197.39013404562</v>
      </c>
      <c r="AO205" s="10">
        <v>1624</v>
      </c>
      <c r="AQ205" s="12">
        <v>292</v>
      </c>
      <c r="AR205" s="2">
        <f>AR204+Tabla32037[[#This Row],[Incremento]]</f>
        <v>535322.22901953105</v>
      </c>
      <c r="AS205" s="2">
        <v>1624</v>
      </c>
      <c r="AU205" s="12">
        <v>292</v>
      </c>
      <c r="AV205" s="2">
        <f>AV204+Tabla32037[[#This Row],[Incremento]]</f>
        <v>726093.60438719997</v>
      </c>
      <c r="AW205" s="2">
        <v>1624</v>
      </c>
      <c r="AX205" s="2"/>
      <c r="AY205" s="12">
        <v>292</v>
      </c>
      <c r="AZ205" s="2">
        <f>AZ204+Tabla32037[[#This Row],[Incremento]]</f>
        <v>1920116.9533449123</v>
      </c>
      <c r="BA205" s="2">
        <v>1624</v>
      </c>
      <c r="BC205" s="12">
        <v>292</v>
      </c>
      <c r="BD205" s="2">
        <f>BD204+Tabla32037[[#This Row],[Incremento]]</f>
        <v>449903.20146240003</v>
      </c>
      <c r="BE205" s="2">
        <v>1624</v>
      </c>
    </row>
    <row r="206" spans="3:57" ht="17" customHeight="1" x14ac:dyDescent="0.2">
      <c r="C206" s="2"/>
      <c r="D206" s="2"/>
      <c r="F206" s="12">
        <v>293</v>
      </c>
      <c r="G206" s="2">
        <f>G205+Tabla32037[[#This Row],[Incremento]]</f>
        <v>556107.82281249994</v>
      </c>
      <c r="H206" s="2">
        <v>1624</v>
      </c>
      <c r="J206" s="12">
        <v>293</v>
      </c>
      <c r="K206" s="2">
        <f>K205+Tabla32037[[#This Row],[Incremento]]</f>
        <v>556107.82281249994</v>
      </c>
      <c r="L206" s="2">
        <v>1624</v>
      </c>
      <c r="N206" s="12">
        <v>293</v>
      </c>
      <c r="O206" s="2">
        <f>O205+Tabla32037[[#This Row],[Incremento]]</f>
        <v>470303.72655000002</v>
      </c>
      <c r="P206" s="2">
        <v>1624</v>
      </c>
      <c r="R206" s="12">
        <v>293</v>
      </c>
      <c r="S206" s="2">
        <f>S205+Tabla32037[[#This Row],[Incremento]]</f>
        <v>374207.3125</v>
      </c>
      <c r="T206" s="2">
        <v>1624</v>
      </c>
      <c r="V206" s="12">
        <v>293</v>
      </c>
      <c r="W206" s="2">
        <f>W205+Tabla32037[[#This Row],[Incremento]]</f>
        <v>901902.61494397931</v>
      </c>
      <c r="X206" s="2">
        <v>1624</v>
      </c>
      <c r="Y206" s="2"/>
      <c r="Z206" s="12">
        <v>293</v>
      </c>
      <c r="AA206" s="2">
        <f>AA205+Tabla32037[[#This Row],[Incremento]]</f>
        <v>431071.06790501636</v>
      </c>
      <c r="AB206" s="2">
        <v>1624</v>
      </c>
      <c r="AC206" s="2"/>
      <c r="AD206" s="12">
        <v>293</v>
      </c>
      <c r="AE206" s="2">
        <f>AE205+Tabla32037[[#This Row],[Incremento]]</f>
        <v>548710.13581003272</v>
      </c>
      <c r="AF206" s="2">
        <v>1624</v>
      </c>
      <c r="AH206" s="12">
        <v>293</v>
      </c>
      <c r="AI206" s="2">
        <f>AI205+Tabla32037[[#This Row],[Incremento]]</f>
        <v>548710.13581003272</v>
      </c>
      <c r="AJ206" s="2">
        <v>1624</v>
      </c>
      <c r="AM206" s="34">
        <v>293</v>
      </c>
      <c r="AN206" s="32">
        <f>AN205+Tabla32037[[#This Row],[Incremento]]</f>
        <v>642821.39013404562</v>
      </c>
      <c r="AO206" s="32">
        <v>1624</v>
      </c>
      <c r="AQ206" s="12">
        <v>293</v>
      </c>
      <c r="AR206" s="2">
        <f>AR205+Tabla32037[[#This Row],[Incremento]]</f>
        <v>536946.22901953105</v>
      </c>
      <c r="AS206" s="2">
        <v>1624</v>
      </c>
      <c r="AU206" s="12">
        <v>293</v>
      </c>
      <c r="AV206" s="2">
        <f>AV205+Tabla32037[[#This Row],[Incremento]]</f>
        <v>727717.60438719997</v>
      </c>
      <c r="AW206" s="2">
        <v>1624</v>
      </c>
      <c r="AX206" s="2"/>
      <c r="AY206" s="12">
        <v>293</v>
      </c>
      <c r="AZ206" s="2">
        <f>AZ205+Tabla32037[[#This Row],[Incremento]]</f>
        <v>1921740.9533449123</v>
      </c>
      <c r="BA206" s="2">
        <v>1624</v>
      </c>
      <c r="BC206" s="12">
        <v>293</v>
      </c>
      <c r="BD206" s="2">
        <f>BD205+Tabla32037[[#This Row],[Incremento]]</f>
        <v>451527.20146240003</v>
      </c>
      <c r="BE206" s="2">
        <v>1624</v>
      </c>
    </row>
    <row r="207" spans="3:57" ht="17" customHeight="1" x14ac:dyDescent="0.2">
      <c r="C207" s="2"/>
      <c r="D207" s="2"/>
      <c r="F207" s="12">
        <v>294</v>
      </c>
      <c r="G207" s="2">
        <f>G206+Tabla32037[[#This Row],[Incremento]]</f>
        <v>557731.82281249994</v>
      </c>
      <c r="H207" s="2">
        <v>1624</v>
      </c>
      <c r="J207" s="12">
        <v>294</v>
      </c>
      <c r="K207" s="2">
        <f>K206+Tabla32037[[#This Row],[Incremento]]</f>
        <v>557731.82281249994</v>
      </c>
      <c r="L207" s="2">
        <v>1624</v>
      </c>
      <c r="N207" s="12">
        <v>294</v>
      </c>
      <c r="O207" s="2">
        <f>O206+Tabla32037[[#This Row],[Incremento]]</f>
        <v>471927.72655000002</v>
      </c>
      <c r="P207" s="2">
        <v>1624</v>
      </c>
      <c r="R207" s="12">
        <v>294</v>
      </c>
      <c r="S207" s="2">
        <f>S206+Tabla32037[[#This Row],[Incremento]]</f>
        <v>375831.3125</v>
      </c>
      <c r="T207" s="2">
        <v>1624</v>
      </c>
      <c r="V207" s="12">
        <v>294</v>
      </c>
      <c r="W207" s="2">
        <f>W206+Tabla32037[[#This Row],[Incremento]]</f>
        <v>903526.61494397931</v>
      </c>
      <c r="X207" s="2">
        <v>1624</v>
      </c>
      <c r="Y207" s="2"/>
      <c r="Z207" s="12">
        <v>294</v>
      </c>
      <c r="AA207" s="2">
        <f>AA206+Tabla32037[[#This Row],[Incremento]]</f>
        <v>432695.06790501636</v>
      </c>
      <c r="AB207" s="2">
        <v>1624</v>
      </c>
      <c r="AC207" s="2"/>
      <c r="AD207" s="12">
        <v>294</v>
      </c>
      <c r="AE207" s="2">
        <f>AE206+Tabla32037[[#This Row],[Incremento]]</f>
        <v>550334.13581003272</v>
      </c>
      <c r="AF207" s="2">
        <v>1624</v>
      </c>
      <c r="AH207" s="12">
        <v>294</v>
      </c>
      <c r="AI207" s="2">
        <f>AI206+Tabla32037[[#This Row],[Incremento]]</f>
        <v>550334.13581003272</v>
      </c>
      <c r="AJ207" s="2">
        <v>1624</v>
      </c>
      <c r="AM207" s="35">
        <v>294</v>
      </c>
      <c r="AN207" s="10">
        <f>AN206+Tabla32037[[#This Row],[Incremento]]</f>
        <v>644445.39013404562</v>
      </c>
      <c r="AO207" s="10">
        <v>1624</v>
      </c>
      <c r="AQ207" s="12">
        <v>294</v>
      </c>
      <c r="AR207" s="2">
        <f>AR206+Tabla32037[[#This Row],[Incremento]]</f>
        <v>538570.22901953105</v>
      </c>
      <c r="AS207" s="2">
        <v>1624</v>
      </c>
      <c r="AU207" s="12">
        <v>294</v>
      </c>
      <c r="AV207" s="2">
        <f>AV206+Tabla32037[[#This Row],[Incremento]]</f>
        <v>729341.60438719997</v>
      </c>
      <c r="AW207" s="2">
        <v>1624</v>
      </c>
      <c r="AX207" s="2"/>
      <c r="AY207" s="12">
        <v>294</v>
      </c>
      <c r="AZ207" s="2">
        <f>AZ206+Tabla32037[[#This Row],[Incremento]]</f>
        <v>1923364.9533449123</v>
      </c>
      <c r="BA207" s="2">
        <v>1624</v>
      </c>
      <c r="BC207" s="12">
        <v>294</v>
      </c>
      <c r="BD207" s="2">
        <f>BD206+Tabla32037[[#This Row],[Incremento]]</f>
        <v>453151.20146240003</v>
      </c>
      <c r="BE207" s="2">
        <v>1624</v>
      </c>
    </row>
    <row r="208" spans="3:57" ht="17" customHeight="1" x14ac:dyDescent="0.2">
      <c r="C208" s="2"/>
      <c r="D208" s="2"/>
      <c r="F208" s="12">
        <v>295</v>
      </c>
      <c r="G208" s="2">
        <f>G207+Tabla32037[[#This Row],[Incremento]]</f>
        <v>559355.82281249994</v>
      </c>
      <c r="H208" s="2">
        <v>1624</v>
      </c>
      <c r="J208" s="12">
        <v>295</v>
      </c>
      <c r="K208" s="2">
        <f>K207+Tabla32037[[#This Row],[Incremento]]</f>
        <v>559355.82281249994</v>
      </c>
      <c r="L208" s="2">
        <v>1624</v>
      </c>
      <c r="N208" s="12">
        <v>295</v>
      </c>
      <c r="O208" s="2">
        <f>O207+Tabla32037[[#This Row],[Incremento]]</f>
        <v>473551.72655000002</v>
      </c>
      <c r="P208" s="2">
        <v>1624</v>
      </c>
      <c r="R208" s="12">
        <v>295</v>
      </c>
      <c r="S208" s="2">
        <f>S207+Tabla32037[[#This Row],[Incremento]]</f>
        <v>377455.3125</v>
      </c>
      <c r="T208" s="2">
        <v>1624</v>
      </c>
      <c r="V208" s="12">
        <v>295</v>
      </c>
      <c r="W208" s="2">
        <f>W207+Tabla32037[[#This Row],[Incremento]]</f>
        <v>905150.61494397931</v>
      </c>
      <c r="X208" s="2">
        <v>1624</v>
      </c>
      <c r="Y208" s="2"/>
      <c r="Z208" s="12">
        <v>295</v>
      </c>
      <c r="AA208" s="2">
        <f>AA207+Tabla32037[[#This Row],[Incremento]]</f>
        <v>434319.06790501636</v>
      </c>
      <c r="AB208" s="2">
        <v>1624</v>
      </c>
      <c r="AC208" s="2"/>
      <c r="AD208" s="12">
        <v>295</v>
      </c>
      <c r="AE208" s="2">
        <f>AE207+Tabla32037[[#This Row],[Incremento]]</f>
        <v>551958.13581003272</v>
      </c>
      <c r="AF208" s="2">
        <v>1624</v>
      </c>
      <c r="AH208" s="12">
        <v>295</v>
      </c>
      <c r="AI208" s="2">
        <f>AI207+Tabla32037[[#This Row],[Incremento]]</f>
        <v>551958.13581003272</v>
      </c>
      <c r="AJ208" s="2">
        <v>1624</v>
      </c>
      <c r="AM208" s="34">
        <v>295</v>
      </c>
      <c r="AN208" s="32">
        <f>AN207+Tabla32037[[#This Row],[Incremento]]</f>
        <v>646069.39013404562</v>
      </c>
      <c r="AO208" s="32">
        <v>1624</v>
      </c>
      <c r="AQ208" s="12">
        <v>295</v>
      </c>
      <c r="AR208" s="2">
        <f>AR207+Tabla32037[[#This Row],[Incremento]]</f>
        <v>540194.22901953105</v>
      </c>
      <c r="AS208" s="2">
        <v>1624</v>
      </c>
      <c r="AU208" s="12">
        <v>295</v>
      </c>
      <c r="AV208" s="2">
        <f>AV207+Tabla32037[[#This Row],[Incremento]]</f>
        <v>730965.60438719997</v>
      </c>
      <c r="AW208" s="2">
        <v>1624</v>
      </c>
      <c r="AX208" s="2"/>
      <c r="AY208" s="12">
        <v>295</v>
      </c>
      <c r="AZ208" s="2">
        <f>AZ207+Tabla32037[[#This Row],[Incremento]]</f>
        <v>1924988.9533449123</v>
      </c>
      <c r="BA208" s="2">
        <v>1624</v>
      </c>
      <c r="BC208" s="12">
        <v>295</v>
      </c>
      <c r="BD208" s="2">
        <f>BD207+Tabla32037[[#This Row],[Incremento]]</f>
        <v>454775.20146240003</v>
      </c>
      <c r="BE208" s="2">
        <v>1624</v>
      </c>
    </row>
    <row r="209" spans="3:57" ht="17" customHeight="1" x14ac:dyDescent="0.2">
      <c r="C209" s="2"/>
      <c r="D209" s="2"/>
      <c r="F209" s="12">
        <v>296</v>
      </c>
      <c r="G209" s="2">
        <f>G208+Tabla32037[[#This Row],[Incremento]]</f>
        <v>560979.82281249994</v>
      </c>
      <c r="H209" s="2">
        <v>1624</v>
      </c>
      <c r="J209" s="12">
        <v>296</v>
      </c>
      <c r="K209" s="2">
        <f>K208+Tabla32037[[#This Row],[Incremento]]</f>
        <v>560979.82281249994</v>
      </c>
      <c r="L209" s="2">
        <v>1624</v>
      </c>
      <c r="N209" s="12">
        <v>296</v>
      </c>
      <c r="O209" s="2">
        <f>O208+Tabla32037[[#This Row],[Incremento]]</f>
        <v>475175.72655000002</v>
      </c>
      <c r="P209" s="2">
        <v>1624</v>
      </c>
      <c r="R209" s="12">
        <v>296</v>
      </c>
      <c r="S209" s="2">
        <f>S208+Tabla32037[[#This Row],[Incremento]]</f>
        <v>379079.3125</v>
      </c>
      <c r="T209" s="2">
        <v>1624</v>
      </c>
      <c r="V209" s="12">
        <v>296</v>
      </c>
      <c r="W209" s="2">
        <f>W208+Tabla32037[[#This Row],[Incremento]]</f>
        <v>906774.61494397931</v>
      </c>
      <c r="X209" s="2">
        <v>1624</v>
      </c>
      <c r="Y209" s="2"/>
      <c r="Z209" s="12">
        <v>296</v>
      </c>
      <c r="AA209" s="2">
        <f>AA208+Tabla32037[[#This Row],[Incremento]]</f>
        <v>435943.06790501636</v>
      </c>
      <c r="AB209" s="2">
        <v>1624</v>
      </c>
      <c r="AC209" s="2"/>
      <c r="AD209" s="12">
        <v>296</v>
      </c>
      <c r="AE209" s="2">
        <f>AE208+Tabla32037[[#This Row],[Incremento]]</f>
        <v>553582.13581003272</v>
      </c>
      <c r="AF209" s="2">
        <v>1624</v>
      </c>
      <c r="AH209" s="12">
        <v>296</v>
      </c>
      <c r="AI209" s="2">
        <f>AI208+Tabla32037[[#This Row],[Incremento]]</f>
        <v>553582.13581003272</v>
      </c>
      <c r="AJ209" s="2">
        <v>1624</v>
      </c>
      <c r="AM209" s="35">
        <v>296</v>
      </c>
      <c r="AN209" s="10">
        <f>AN208+Tabla32037[[#This Row],[Incremento]]</f>
        <v>647693.39013404562</v>
      </c>
      <c r="AO209" s="10">
        <v>1624</v>
      </c>
      <c r="AQ209" s="12">
        <v>296</v>
      </c>
      <c r="AR209" s="2">
        <f>AR208+Tabla32037[[#This Row],[Incremento]]</f>
        <v>541818.22901953105</v>
      </c>
      <c r="AS209" s="2">
        <v>1624</v>
      </c>
      <c r="AU209" s="12">
        <v>296</v>
      </c>
      <c r="AV209" s="2">
        <f>AV208+Tabla32037[[#This Row],[Incremento]]</f>
        <v>732589.60438719997</v>
      </c>
      <c r="AW209" s="2">
        <v>1624</v>
      </c>
      <c r="AX209" s="2"/>
      <c r="AY209" s="12">
        <v>296</v>
      </c>
      <c r="AZ209" s="2">
        <f>AZ208+Tabla32037[[#This Row],[Incremento]]</f>
        <v>1926612.9533449123</v>
      </c>
      <c r="BA209" s="2">
        <v>1624</v>
      </c>
      <c r="BC209" s="12">
        <v>296</v>
      </c>
      <c r="BD209" s="2">
        <f>BD208+Tabla32037[[#This Row],[Incremento]]</f>
        <v>456399.20146240003</v>
      </c>
      <c r="BE209" s="2">
        <v>1624</v>
      </c>
    </row>
    <row r="210" spans="3:57" ht="17" customHeight="1" x14ac:dyDescent="0.2">
      <c r="C210" s="2"/>
      <c r="D210" s="2"/>
      <c r="F210" s="12">
        <v>297</v>
      </c>
      <c r="G210" s="2">
        <f>G209+Tabla32037[[#This Row],[Incremento]]</f>
        <v>562603.82281249994</v>
      </c>
      <c r="H210" s="2">
        <v>1624</v>
      </c>
      <c r="J210" s="12">
        <v>297</v>
      </c>
      <c r="K210" s="2">
        <f>K209+Tabla32037[[#This Row],[Incremento]]</f>
        <v>562603.82281249994</v>
      </c>
      <c r="L210" s="2">
        <v>1624</v>
      </c>
      <c r="N210" s="12">
        <v>297</v>
      </c>
      <c r="O210" s="2">
        <f>O209+Tabla32037[[#This Row],[Incremento]]</f>
        <v>476799.72655000002</v>
      </c>
      <c r="P210" s="2">
        <v>1624</v>
      </c>
      <c r="R210" s="12">
        <v>297</v>
      </c>
      <c r="S210" s="2">
        <f>S209+Tabla32037[[#This Row],[Incremento]]</f>
        <v>380703.3125</v>
      </c>
      <c r="T210" s="2">
        <v>1624</v>
      </c>
      <c r="V210" s="12">
        <v>297</v>
      </c>
      <c r="W210" s="2">
        <f>W209+Tabla32037[[#This Row],[Incremento]]</f>
        <v>908398.61494397931</v>
      </c>
      <c r="X210" s="2">
        <v>1624</v>
      </c>
      <c r="Y210" s="2"/>
      <c r="Z210" s="12">
        <v>297</v>
      </c>
      <c r="AA210" s="2">
        <f>AA209+Tabla32037[[#This Row],[Incremento]]</f>
        <v>437567.06790501636</v>
      </c>
      <c r="AB210" s="2">
        <v>1624</v>
      </c>
      <c r="AC210" s="2"/>
      <c r="AD210" s="12">
        <v>297</v>
      </c>
      <c r="AE210" s="2">
        <f>AE209+Tabla32037[[#This Row],[Incremento]]</f>
        <v>555206.13581003272</v>
      </c>
      <c r="AF210" s="2">
        <v>1624</v>
      </c>
      <c r="AH210" s="12">
        <v>297</v>
      </c>
      <c r="AI210" s="2">
        <f>AI209+Tabla32037[[#This Row],[Incremento]]</f>
        <v>555206.13581003272</v>
      </c>
      <c r="AJ210" s="2">
        <v>1624</v>
      </c>
      <c r="AM210" s="34">
        <v>297</v>
      </c>
      <c r="AN210" s="32">
        <f>AN209+Tabla32037[[#This Row],[Incremento]]</f>
        <v>649317.39013404562</v>
      </c>
      <c r="AO210" s="32">
        <v>1624</v>
      </c>
      <c r="AQ210" s="12">
        <v>297</v>
      </c>
      <c r="AR210" s="2">
        <f>AR209+Tabla32037[[#This Row],[Incremento]]</f>
        <v>543442.22901953105</v>
      </c>
      <c r="AS210" s="2">
        <v>1624</v>
      </c>
      <c r="AU210" s="12">
        <v>297</v>
      </c>
      <c r="AV210" s="2">
        <f>AV209+Tabla32037[[#This Row],[Incremento]]</f>
        <v>734213.60438719997</v>
      </c>
      <c r="AW210" s="2">
        <v>1624</v>
      </c>
      <c r="AX210" s="2"/>
      <c r="AY210" s="12">
        <v>297</v>
      </c>
      <c r="AZ210" s="2">
        <f>AZ209+Tabla32037[[#This Row],[Incremento]]</f>
        <v>1928236.9533449123</v>
      </c>
      <c r="BA210" s="2">
        <v>1624</v>
      </c>
      <c r="BC210" s="12">
        <v>297</v>
      </c>
      <c r="BD210" s="2">
        <f>BD209+Tabla32037[[#This Row],[Incremento]]</f>
        <v>458023.20146240003</v>
      </c>
      <c r="BE210" s="2">
        <v>1624</v>
      </c>
    </row>
    <row r="211" spans="3:57" ht="17" customHeight="1" x14ac:dyDescent="0.2">
      <c r="C211" s="2"/>
      <c r="D211" s="2"/>
      <c r="F211" s="12">
        <v>298</v>
      </c>
      <c r="G211" s="2">
        <f>G210+Tabla32037[[#This Row],[Incremento]]</f>
        <v>564227.82281249994</v>
      </c>
      <c r="H211" s="2">
        <v>1624</v>
      </c>
      <c r="J211" s="12">
        <v>298</v>
      </c>
      <c r="K211" s="2">
        <f>K210+Tabla32037[[#This Row],[Incremento]]</f>
        <v>564227.82281249994</v>
      </c>
      <c r="L211" s="2">
        <v>1624</v>
      </c>
      <c r="N211" s="12">
        <v>298</v>
      </c>
      <c r="O211" s="2">
        <f>O210+Tabla32037[[#This Row],[Incremento]]</f>
        <v>478423.72655000002</v>
      </c>
      <c r="P211" s="2">
        <v>1624</v>
      </c>
      <c r="R211" s="12">
        <v>298</v>
      </c>
      <c r="S211" s="2">
        <f>S210+Tabla32037[[#This Row],[Incremento]]</f>
        <v>382327.3125</v>
      </c>
      <c r="T211" s="2">
        <v>1624</v>
      </c>
      <c r="V211" s="12">
        <v>298</v>
      </c>
      <c r="W211" s="2">
        <f>W210+Tabla32037[[#This Row],[Incremento]]</f>
        <v>910022.61494397931</v>
      </c>
      <c r="X211" s="2">
        <v>1624</v>
      </c>
      <c r="Y211" s="2"/>
      <c r="Z211" s="12">
        <v>298</v>
      </c>
      <c r="AA211" s="2">
        <f>AA210+Tabla32037[[#This Row],[Incremento]]</f>
        <v>439191.06790501636</v>
      </c>
      <c r="AB211" s="2">
        <v>1624</v>
      </c>
      <c r="AC211" s="2"/>
      <c r="AD211" s="12">
        <v>298</v>
      </c>
      <c r="AE211" s="2">
        <f>AE210+Tabla32037[[#This Row],[Incremento]]</f>
        <v>556830.13581003272</v>
      </c>
      <c r="AF211" s="2">
        <v>1624</v>
      </c>
      <c r="AH211" s="12">
        <v>298</v>
      </c>
      <c r="AI211" s="2">
        <f>AI210+Tabla32037[[#This Row],[Incremento]]</f>
        <v>556830.13581003272</v>
      </c>
      <c r="AJ211" s="2">
        <v>1624</v>
      </c>
      <c r="AM211" s="35">
        <v>298</v>
      </c>
      <c r="AN211" s="10">
        <f>AN210+Tabla32037[[#This Row],[Incremento]]</f>
        <v>650941.39013404562</v>
      </c>
      <c r="AO211" s="10">
        <v>1624</v>
      </c>
      <c r="AQ211" s="12">
        <v>298</v>
      </c>
      <c r="AR211" s="2">
        <f>AR210+Tabla32037[[#This Row],[Incremento]]</f>
        <v>545066.22901953105</v>
      </c>
      <c r="AS211" s="2">
        <v>1624</v>
      </c>
      <c r="AU211" s="12">
        <v>298</v>
      </c>
      <c r="AV211" s="2">
        <f>AV210+Tabla32037[[#This Row],[Incremento]]</f>
        <v>735837.60438719997</v>
      </c>
      <c r="AW211" s="2">
        <v>1624</v>
      </c>
      <c r="AX211" s="2"/>
      <c r="AY211" s="12">
        <v>298</v>
      </c>
      <c r="AZ211" s="2">
        <f>AZ210+Tabla32037[[#This Row],[Incremento]]</f>
        <v>1929860.9533449123</v>
      </c>
      <c r="BA211" s="2">
        <v>1624</v>
      </c>
      <c r="BC211" s="12">
        <v>298</v>
      </c>
      <c r="BD211" s="2">
        <f>BD210+Tabla32037[[#This Row],[Incremento]]</f>
        <v>459647.20146240003</v>
      </c>
      <c r="BE211" s="2">
        <v>1624</v>
      </c>
    </row>
    <row r="212" spans="3:57" ht="17" customHeight="1" x14ac:dyDescent="0.2">
      <c r="C212" s="2"/>
      <c r="D212" s="2"/>
      <c r="F212" s="12">
        <v>299</v>
      </c>
      <c r="G212" s="2">
        <f>G211+Tabla32037[[#This Row],[Incremento]]</f>
        <v>565851.82281249994</v>
      </c>
      <c r="H212" s="2">
        <v>1624</v>
      </c>
      <c r="J212" s="12">
        <v>299</v>
      </c>
      <c r="K212" s="2">
        <f>K211+Tabla32037[[#This Row],[Incremento]]</f>
        <v>565851.82281249994</v>
      </c>
      <c r="L212" s="2">
        <v>1624</v>
      </c>
      <c r="N212" s="12">
        <v>299</v>
      </c>
      <c r="O212" s="2">
        <f>O211+Tabla32037[[#This Row],[Incremento]]</f>
        <v>480047.72655000002</v>
      </c>
      <c r="P212" s="2">
        <v>1624</v>
      </c>
      <c r="R212" s="12">
        <v>299</v>
      </c>
      <c r="S212" s="2">
        <f>S211+Tabla32037[[#This Row],[Incremento]]</f>
        <v>383951.3125</v>
      </c>
      <c r="T212" s="2">
        <v>1624</v>
      </c>
      <c r="V212" s="12">
        <v>299</v>
      </c>
      <c r="W212" s="2">
        <f>W211+Tabla32037[[#This Row],[Incremento]]</f>
        <v>911646.61494397931</v>
      </c>
      <c r="X212" s="2">
        <v>1624</v>
      </c>
      <c r="Y212" s="2"/>
      <c r="Z212" s="12">
        <v>299</v>
      </c>
      <c r="AA212" s="2">
        <f>AA211+Tabla32037[[#This Row],[Incremento]]</f>
        <v>440815.06790501636</v>
      </c>
      <c r="AB212" s="2">
        <v>1624</v>
      </c>
      <c r="AC212" s="2"/>
      <c r="AD212" s="12">
        <v>299</v>
      </c>
      <c r="AE212" s="2">
        <f>AE211+Tabla32037[[#This Row],[Incremento]]</f>
        <v>558454.13581003272</v>
      </c>
      <c r="AF212" s="2">
        <v>1624</v>
      </c>
      <c r="AH212" s="12">
        <v>299</v>
      </c>
      <c r="AI212" s="2">
        <f>AI211+Tabla32037[[#This Row],[Incremento]]</f>
        <v>558454.13581003272</v>
      </c>
      <c r="AJ212" s="2">
        <v>1624</v>
      </c>
      <c r="AM212" s="34">
        <v>299</v>
      </c>
      <c r="AN212" s="32">
        <f>AN211+Tabla32037[[#This Row],[Incremento]]</f>
        <v>652565.39013404562</v>
      </c>
      <c r="AO212" s="32">
        <v>1624</v>
      </c>
      <c r="AQ212" s="12">
        <v>299</v>
      </c>
      <c r="AR212" s="2">
        <f>AR211+Tabla32037[[#This Row],[Incremento]]</f>
        <v>546690.22901953105</v>
      </c>
      <c r="AS212" s="2">
        <v>1624</v>
      </c>
      <c r="AU212" s="12">
        <v>299</v>
      </c>
      <c r="AV212" s="2">
        <f>AV211+Tabla32037[[#This Row],[Incremento]]</f>
        <v>737461.60438719997</v>
      </c>
      <c r="AW212" s="2">
        <v>1624</v>
      </c>
      <c r="AX212" s="2"/>
      <c r="AY212" s="12">
        <v>299</v>
      </c>
      <c r="AZ212" s="2">
        <f>AZ211+Tabla32037[[#This Row],[Incremento]]</f>
        <v>1931484.9533449123</v>
      </c>
      <c r="BA212" s="2">
        <v>1624</v>
      </c>
      <c r="BC212" s="12">
        <v>299</v>
      </c>
      <c r="BD212" s="2">
        <f>BD211+Tabla32037[[#This Row],[Incremento]]</f>
        <v>461271.20146240003</v>
      </c>
      <c r="BE212" s="2">
        <v>1624</v>
      </c>
    </row>
    <row r="213" spans="3:57" ht="17" customHeight="1" x14ac:dyDescent="0.2">
      <c r="C213" s="2"/>
      <c r="D213" s="2"/>
      <c r="F213" s="12">
        <v>300</v>
      </c>
      <c r="G213" s="2">
        <f>G212+Tabla32037[[#This Row],[Incremento]]</f>
        <v>567475.82281249994</v>
      </c>
      <c r="H213" s="2">
        <v>1624</v>
      </c>
      <c r="J213" s="12">
        <v>300</v>
      </c>
      <c r="K213" s="2">
        <f>K212+Tabla32037[[#This Row],[Incremento]]</f>
        <v>567475.82281249994</v>
      </c>
      <c r="L213" s="2">
        <v>1624</v>
      </c>
      <c r="N213" s="12">
        <v>300</v>
      </c>
      <c r="O213" s="2">
        <f>O212+Tabla32037[[#This Row],[Incremento]]</f>
        <v>481671.72655000002</v>
      </c>
      <c r="P213" s="2">
        <v>1624</v>
      </c>
      <c r="R213" s="12">
        <v>300</v>
      </c>
      <c r="S213" s="2">
        <f>S212+Tabla32037[[#This Row],[Incremento]]</f>
        <v>385575.3125</v>
      </c>
      <c r="T213" s="2">
        <v>1624</v>
      </c>
      <c r="V213" s="12">
        <v>300</v>
      </c>
      <c r="W213" s="2">
        <f>W212+Tabla32037[[#This Row],[Incremento]]</f>
        <v>913270.61494397931</v>
      </c>
      <c r="X213" s="2">
        <v>1624</v>
      </c>
      <c r="Y213" s="2"/>
      <c r="Z213" s="12">
        <v>300</v>
      </c>
      <c r="AA213" s="2">
        <f>AA212+Tabla32037[[#This Row],[Incremento]]</f>
        <v>442439.06790501636</v>
      </c>
      <c r="AB213" s="2">
        <v>1624</v>
      </c>
      <c r="AC213" s="2"/>
      <c r="AD213" s="12">
        <v>300</v>
      </c>
      <c r="AE213" s="2">
        <f>AE212+Tabla32037[[#This Row],[Incremento]]</f>
        <v>560078.13581003272</v>
      </c>
      <c r="AF213" s="2">
        <v>1624</v>
      </c>
      <c r="AH213" s="12">
        <v>300</v>
      </c>
      <c r="AI213" s="2">
        <f>AI212+Tabla32037[[#This Row],[Incremento]]</f>
        <v>560078.13581003272</v>
      </c>
      <c r="AJ213" s="2">
        <v>1624</v>
      </c>
      <c r="AM213" s="35">
        <v>300</v>
      </c>
      <c r="AN213" s="10">
        <f>AN212+Tabla32037[[#This Row],[Incremento]]</f>
        <v>654189.39013404562</v>
      </c>
      <c r="AO213" s="10">
        <v>1624</v>
      </c>
      <c r="AQ213" s="12">
        <v>300</v>
      </c>
      <c r="AR213" s="2">
        <f>AR212+Tabla32037[[#This Row],[Incremento]]</f>
        <v>548314.22901953105</v>
      </c>
      <c r="AS213" s="2">
        <v>1624</v>
      </c>
      <c r="AU213" s="12">
        <v>300</v>
      </c>
      <c r="AV213" s="2">
        <f>AV212+Tabla32037[[#This Row],[Incremento]]</f>
        <v>739085.60438719997</v>
      </c>
      <c r="AW213" s="2">
        <v>1624</v>
      </c>
      <c r="AX213" s="2"/>
      <c r="AY213" s="12">
        <v>300</v>
      </c>
      <c r="AZ213" s="2">
        <f>AZ212+Tabla32037[[#This Row],[Incremento]]</f>
        <v>1933108.9533449123</v>
      </c>
      <c r="BA213" s="2">
        <v>1624</v>
      </c>
      <c r="BC213" s="12">
        <v>300</v>
      </c>
      <c r="BD213" s="2">
        <f>BD212+Tabla32037[[#This Row],[Incremento]]</f>
        <v>462895.20146240003</v>
      </c>
      <c r="BE213" s="2">
        <v>1624</v>
      </c>
    </row>
    <row r="214" spans="3:57" ht="17" customHeight="1" x14ac:dyDescent="0.2">
      <c r="C214" s="2"/>
      <c r="D214" s="2"/>
      <c r="AM214" s="31"/>
      <c r="AN214" s="36"/>
      <c r="AO214" s="36"/>
    </row>
    <row r="215" spans="3:57" ht="17" customHeight="1" x14ac:dyDescent="0.2">
      <c r="C215" s="2"/>
      <c r="D215" s="2"/>
      <c r="AM215" s="9"/>
      <c r="AN215" s="37"/>
      <c r="AO215" s="37"/>
    </row>
    <row r="216" spans="3:57" ht="17" customHeight="1" x14ac:dyDescent="0.2">
      <c r="C216" s="2"/>
      <c r="D216" s="2"/>
      <c r="AM216" s="31"/>
      <c r="AN216" s="36"/>
      <c r="AO216" s="36"/>
    </row>
    <row r="217" spans="3:57" ht="17" customHeight="1" x14ac:dyDescent="0.2">
      <c r="C217" s="2"/>
      <c r="D217" s="2"/>
      <c r="AM217" s="15"/>
      <c r="AN217" s="26"/>
      <c r="AO217" s="26"/>
    </row>
    <row r="218" spans="3:57" ht="17" customHeight="1" x14ac:dyDescent="0.2">
      <c r="C218" s="2"/>
      <c r="D218" s="2"/>
    </row>
    <row r="219" spans="3:57" ht="17" customHeight="1" x14ac:dyDescent="0.2">
      <c r="C219" s="2"/>
      <c r="D219" s="2"/>
    </row>
    <row r="220" spans="3:57" ht="17" customHeight="1" x14ac:dyDescent="0.2">
      <c r="C220" s="2"/>
      <c r="D220" s="2"/>
    </row>
    <row r="221" spans="3:57" ht="17" customHeight="1" x14ac:dyDescent="0.2">
      <c r="C221" s="2"/>
      <c r="D221" s="2"/>
      <c r="AQ221" s="25">
        <f>SUM(AN213,AR213)</f>
        <v>1202503.6191535767</v>
      </c>
    </row>
    <row r="222" spans="3:57" ht="17" customHeight="1" x14ac:dyDescent="0.2">
      <c r="C222" s="2"/>
      <c r="D222" s="2"/>
      <c r="S222" s="14"/>
    </row>
    <row r="223" spans="3:57" ht="17" customHeight="1" x14ac:dyDescent="0.2">
      <c r="C223" s="2"/>
      <c r="D223" s="2"/>
    </row>
    <row r="224" spans="3:57" ht="17" customHeight="1" x14ac:dyDescent="0.2">
      <c r="C224" s="2"/>
      <c r="D224" s="2"/>
      <c r="S224" s="14"/>
    </row>
    <row r="225" spans="3:4" ht="17" customHeight="1" x14ac:dyDescent="0.2">
      <c r="C225" s="2"/>
      <c r="D225" s="2"/>
    </row>
    <row r="226" spans="3:4" ht="17" customHeight="1" x14ac:dyDescent="0.2">
      <c r="C226" s="2"/>
      <c r="D226" s="2"/>
    </row>
    <row r="227" spans="3:4" ht="17" customHeight="1" x14ac:dyDescent="0.2">
      <c r="C227" s="2"/>
      <c r="D227" s="2"/>
    </row>
    <row r="228" spans="3:4" ht="17" customHeight="1" x14ac:dyDescent="0.2">
      <c r="C228" s="2"/>
      <c r="D228" s="2"/>
    </row>
    <row r="229" spans="3:4" ht="17" customHeight="1" x14ac:dyDescent="0.2">
      <c r="C229" s="2"/>
      <c r="D229" s="2"/>
    </row>
    <row r="230" spans="3:4" ht="17" customHeight="1" x14ac:dyDescent="0.2">
      <c r="C230" s="2"/>
      <c r="D230" s="2"/>
    </row>
    <row r="231" spans="3:4" ht="17" customHeight="1" x14ac:dyDescent="0.2">
      <c r="C231" s="2"/>
      <c r="D231" s="2"/>
    </row>
    <row r="232" spans="3:4" ht="17" customHeight="1" x14ac:dyDescent="0.2">
      <c r="C232" s="2"/>
      <c r="D232" s="2"/>
    </row>
    <row r="233" spans="3:4" ht="17" customHeight="1" x14ac:dyDescent="0.2">
      <c r="C233" s="2"/>
      <c r="D233" s="2"/>
    </row>
    <row r="234" spans="3:4" ht="17" customHeight="1" x14ac:dyDescent="0.2">
      <c r="C234" s="2"/>
      <c r="D234" s="2"/>
    </row>
    <row r="235" spans="3:4" ht="17" customHeight="1" x14ac:dyDescent="0.2">
      <c r="C235" s="2"/>
      <c r="D235" s="2"/>
    </row>
    <row r="236" spans="3:4" ht="17" customHeight="1" x14ac:dyDescent="0.2">
      <c r="C236" s="2"/>
      <c r="D236" s="2"/>
    </row>
    <row r="237" spans="3:4" ht="17" customHeight="1" x14ac:dyDescent="0.2">
      <c r="C237" s="2"/>
      <c r="D237" s="2"/>
    </row>
    <row r="238" spans="3:4" ht="17" customHeight="1" x14ac:dyDescent="0.2">
      <c r="C238" s="2"/>
      <c r="D238" s="2"/>
    </row>
    <row r="239" spans="3:4" ht="17" customHeight="1" x14ac:dyDescent="0.2">
      <c r="C239" s="2"/>
      <c r="D239" s="2"/>
    </row>
    <row r="240" spans="3:4" ht="17" customHeight="1" x14ac:dyDescent="0.2">
      <c r="C240" s="2"/>
      <c r="D240" s="2"/>
    </row>
    <row r="241" spans="3:4" ht="17" customHeight="1" x14ac:dyDescent="0.2">
      <c r="C241" s="2"/>
      <c r="D241" s="2"/>
    </row>
    <row r="242" spans="3:4" ht="17" customHeight="1" x14ac:dyDescent="0.2">
      <c r="C242" s="2"/>
      <c r="D242" s="2"/>
    </row>
    <row r="243" spans="3:4" ht="17" customHeight="1" x14ac:dyDescent="0.2">
      <c r="C243" s="2"/>
      <c r="D243" s="2"/>
    </row>
    <row r="244" spans="3:4" ht="17" customHeight="1" x14ac:dyDescent="0.2">
      <c r="C244" s="2"/>
      <c r="D244" s="2"/>
    </row>
    <row r="245" spans="3:4" ht="17" customHeight="1" x14ac:dyDescent="0.2">
      <c r="C245" s="2"/>
      <c r="D245" s="2"/>
    </row>
    <row r="246" spans="3:4" ht="17" customHeight="1" x14ac:dyDescent="0.2">
      <c r="C246" s="2"/>
      <c r="D246" s="2"/>
    </row>
    <row r="247" spans="3:4" ht="17" customHeight="1" x14ac:dyDescent="0.2">
      <c r="C247" s="2"/>
      <c r="D247" s="2"/>
    </row>
    <row r="248" spans="3:4" ht="17" customHeight="1" x14ac:dyDescent="0.2">
      <c r="C248" s="2"/>
      <c r="D248" s="2"/>
    </row>
    <row r="249" spans="3:4" ht="17" customHeight="1" x14ac:dyDescent="0.2">
      <c r="C249" s="2"/>
      <c r="D249" s="2"/>
    </row>
    <row r="250" spans="3:4" ht="17" customHeight="1" x14ac:dyDescent="0.2">
      <c r="C250" s="2"/>
      <c r="D250" s="2"/>
    </row>
    <row r="251" spans="3:4" ht="17" customHeight="1" x14ac:dyDescent="0.2">
      <c r="C251" s="2"/>
      <c r="D251" s="2"/>
    </row>
    <row r="252" spans="3:4" ht="17" customHeight="1" x14ac:dyDescent="0.2">
      <c r="C252" s="2"/>
      <c r="D252" s="2"/>
    </row>
    <row r="253" spans="3:4" ht="17" customHeight="1" x14ac:dyDescent="0.2">
      <c r="C253" s="2"/>
      <c r="D253" s="2"/>
    </row>
    <row r="254" spans="3:4" ht="17" customHeight="1" x14ac:dyDescent="0.2">
      <c r="C254" s="2"/>
      <c r="D254" s="2"/>
    </row>
    <row r="255" spans="3:4" ht="17" customHeight="1" x14ac:dyDescent="0.2">
      <c r="C255" s="2"/>
      <c r="D255" s="2"/>
    </row>
    <row r="256" spans="3:4" ht="17" customHeight="1" x14ac:dyDescent="0.2">
      <c r="C256" s="2"/>
      <c r="D256" s="2"/>
    </row>
    <row r="257" spans="3:4" ht="17" customHeight="1" x14ac:dyDescent="0.2">
      <c r="C257" s="2"/>
      <c r="D257" s="2"/>
    </row>
    <row r="258" spans="3:4" ht="17" customHeight="1" x14ac:dyDescent="0.2">
      <c r="C258" s="2"/>
      <c r="D258" s="2"/>
    </row>
    <row r="259" spans="3:4" ht="17" customHeight="1" x14ac:dyDescent="0.2">
      <c r="C259" s="2"/>
      <c r="D259" s="2"/>
    </row>
    <row r="260" spans="3:4" ht="17" customHeight="1" x14ac:dyDescent="0.2">
      <c r="C260" s="2"/>
      <c r="D260" s="2"/>
    </row>
    <row r="261" spans="3:4" ht="17" customHeight="1" x14ac:dyDescent="0.2">
      <c r="C261" s="2"/>
      <c r="D261" s="2"/>
    </row>
    <row r="262" spans="3:4" ht="17" customHeight="1" x14ac:dyDescent="0.2">
      <c r="C262" s="2"/>
      <c r="D262" s="2"/>
    </row>
    <row r="263" spans="3:4" ht="17" customHeight="1" x14ac:dyDescent="0.2">
      <c r="C263" s="2"/>
      <c r="D263" s="2"/>
    </row>
    <row r="264" spans="3:4" ht="17" customHeight="1" x14ac:dyDescent="0.2">
      <c r="C264" s="2"/>
      <c r="D264" s="2"/>
    </row>
    <row r="265" spans="3:4" ht="17" customHeight="1" x14ac:dyDescent="0.2">
      <c r="C265" s="2"/>
      <c r="D265" s="2"/>
    </row>
    <row r="266" spans="3:4" ht="17" customHeight="1" x14ac:dyDescent="0.2">
      <c r="C266" s="2"/>
      <c r="D266" s="2"/>
    </row>
    <row r="267" spans="3:4" ht="17" customHeight="1" x14ac:dyDescent="0.2">
      <c r="C267" s="2"/>
      <c r="D267" s="2"/>
    </row>
    <row r="268" spans="3:4" ht="17" customHeight="1" x14ac:dyDescent="0.2">
      <c r="C268" s="2"/>
      <c r="D268" s="2"/>
    </row>
    <row r="269" spans="3:4" ht="17" customHeight="1" x14ac:dyDescent="0.2">
      <c r="C269" s="2"/>
      <c r="D269" s="2"/>
    </row>
    <row r="270" spans="3:4" ht="17" customHeight="1" x14ac:dyDescent="0.2">
      <c r="C270" s="2"/>
      <c r="D270" s="2"/>
    </row>
    <row r="271" spans="3:4" ht="17" customHeight="1" x14ac:dyDescent="0.2">
      <c r="C271" s="2"/>
      <c r="D271" s="2"/>
    </row>
    <row r="272" spans="3:4" ht="17" customHeight="1" x14ac:dyDescent="0.2">
      <c r="C272" s="2"/>
      <c r="D272" s="2"/>
    </row>
    <row r="273" spans="3:4" ht="17" customHeight="1" x14ac:dyDescent="0.2">
      <c r="C273" s="2"/>
      <c r="D273" s="2"/>
    </row>
    <row r="274" spans="3:4" ht="17" customHeight="1" x14ac:dyDescent="0.2">
      <c r="C274" s="2"/>
      <c r="D274" s="2"/>
    </row>
    <row r="275" spans="3:4" ht="17" customHeight="1" x14ac:dyDescent="0.2">
      <c r="C275" s="2"/>
      <c r="D275" s="2"/>
    </row>
    <row r="276" spans="3:4" ht="17" customHeight="1" x14ac:dyDescent="0.2">
      <c r="C276" s="2"/>
      <c r="D276" s="2"/>
    </row>
    <row r="277" spans="3:4" ht="17" customHeight="1" x14ac:dyDescent="0.2">
      <c r="C277" s="2"/>
      <c r="D277" s="2"/>
    </row>
    <row r="278" spans="3:4" ht="17" customHeight="1" x14ac:dyDescent="0.2">
      <c r="C278" s="2"/>
      <c r="D278" s="2"/>
    </row>
    <row r="279" spans="3:4" ht="17" customHeight="1" x14ac:dyDescent="0.2">
      <c r="C279" s="2"/>
      <c r="D279" s="2"/>
    </row>
    <row r="280" spans="3:4" ht="17" customHeight="1" x14ac:dyDescent="0.2">
      <c r="C280" s="2"/>
      <c r="D280" s="2"/>
    </row>
    <row r="281" spans="3:4" ht="17" customHeight="1" x14ac:dyDescent="0.2">
      <c r="C281" s="2"/>
      <c r="D281" s="2"/>
    </row>
    <row r="282" spans="3:4" ht="17" customHeight="1" x14ac:dyDescent="0.2">
      <c r="C282" s="2"/>
      <c r="D282" s="2"/>
    </row>
    <row r="283" spans="3:4" ht="17" customHeight="1" x14ac:dyDescent="0.2">
      <c r="C283" s="2"/>
      <c r="D283" s="2"/>
    </row>
    <row r="284" spans="3:4" ht="17" customHeight="1" x14ac:dyDescent="0.2">
      <c r="C284" s="2"/>
      <c r="D284" s="2"/>
    </row>
    <row r="285" spans="3:4" ht="17" customHeight="1" x14ac:dyDescent="0.2">
      <c r="C285" s="2"/>
      <c r="D285" s="2"/>
    </row>
    <row r="286" spans="3:4" ht="17" customHeight="1" x14ac:dyDescent="0.2">
      <c r="C286" s="2"/>
      <c r="D286" s="2"/>
    </row>
    <row r="287" spans="3:4" ht="17" customHeight="1" x14ac:dyDescent="0.2">
      <c r="C287" s="2"/>
      <c r="D287" s="2"/>
    </row>
    <row r="288" spans="3:4" ht="17" customHeight="1" x14ac:dyDescent="0.2">
      <c r="C288" s="2"/>
      <c r="D288" s="2"/>
    </row>
    <row r="289" spans="3:4" ht="17" customHeight="1" x14ac:dyDescent="0.2">
      <c r="C289" s="2"/>
      <c r="D289" s="2"/>
    </row>
    <row r="290" spans="3:4" ht="17" customHeight="1" x14ac:dyDescent="0.2">
      <c r="C290" s="2"/>
      <c r="D290" s="2"/>
    </row>
    <row r="291" spans="3:4" ht="17" customHeight="1" x14ac:dyDescent="0.2">
      <c r="C291" s="2"/>
      <c r="D291" s="2"/>
    </row>
    <row r="292" spans="3:4" ht="17" customHeight="1" x14ac:dyDescent="0.2">
      <c r="C292" s="2"/>
      <c r="D292" s="2"/>
    </row>
    <row r="293" spans="3:4" ht="17" customHeight="1" x14ac:dyDescent="0.2">
      <c r="C293" s="2"/>
      <c r="D293" s="2"/>
    </row>
    <row r="294" spans="3:4" ht="17" customHeight="1" x14ac:dyDescent="0.2">
      <c r="C294" s="2"/>
      <c r="D294" s="2"/>
    </row>
    <row r="295" spans="3:4" ht="17" customHeight="1" x14ac:dyDescent="0.2">
      <c r="C295" s="2"/>
      <c r="D295" s="2"/>
    </row>
    <row r="296" spans="3:4" ht="17" customHeight="1" x14ac:dyDescent="0.2">
      <c r="C296" s="2"/>
      <c r="D296" s="2"/>
    </row>
    <row r="297" spans="3:4" ht="17" customHeight="1" x14ac:dyDescent="0.2">
      <c r="C297" s="2"/>
      <c r="D297" s="2"/>
    </row>
    <row r="298" spans="3:4" ht="17" customHeight="1" x14ac:dyDescent="0.2">
      <c r="C298" s="2"/>
      <c r="D298" s="2"/>
    </row>
    <row r="299" spans="3:4" ht="17" customHeight="1" x14ac:dyDescent="0.2">
      <c r="C299" s="2"/>
      <c r="D299" s="2"/>
    </row>
  </sheetData>
  <mergeCells count="14">
    <mergeCell ref="Z3:AB3"/>
    <mergeCell ref="AD3:AF3"/>
    <mergeCell ref="V3:X3"/>
    <mergeCell ref="B3:D3"/>
    <mergeCell ref="F3:H3"/>
    <mergeCell ref="J3:L3"/>
    <mergeCell ref="N3:P3"/>
    <mergeCell ref="R3:T3"/>
    <mergeCell ref="AH3:AI3"/>
    <mergeCell ref="AM3:AO3"/>
    <mergeCell ref="AQ3:AS3"/>
    <mergeCell ref="AU3:AW3"/>
    <mergeCell ref="BC3:BE3"/>
    <mergeCell ref="AY3:BA3"/>
  </mergeCells>
  <phoneticPr fontId="5" type="noConversion"/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E695-3E20-1148-8F76-3A39CECF029F}">
  <sheetPr>
    <tabColor rgb="FF0070C0"/>
  </sheetPr>
  <dimension ref="A2:AJ98"/>
  <sheetViews>
    <sheetView showGridLines="0" tabSelected="1" topLeftCell="C1" zoomScale="50" zoomScaleNormal="155" workbookViewId="0">
      <selection activeCell="V8" sqref="V8:AC57"/>
    </sheetView>
  </sheetViews>
  <sheetFormatPr baseColWidth="10" defaultRowHeight="16" x14ac:dyDescent="0.2"/>
  <cols>
    <col min="1" max="1" width="17" bestFit="1" customWidth="1"/>
    <col min="2" max="2" width="18" bestFit="1" customWidth="1"/>
    <col min="3" max="3" width="14.1640625" bestFit="1" customWidth="1"/>
    <col min="4" max="5" width="10.83203125" customWidth="1"/>
    <col min="6" max="6" width="18" bestFit="1" customWidth="1"/>
    <col min="7" max="7" width="16.33203125" customWidth="1"/>
    <col min="8" max="8" width="13.33203125" bestFit="1" customWidth="1"/>
    <col min="9" max="10" width="18" bestFit="1" customWidth="1"/>
    <col min="11" max="11" width="14.5" bestFit="1" customWidth="1"/>
    <col min="12" max="12" width="11.33203125" bestFit="1" customWidth="1"/>
    <col min="13" max="13" width="15.5" bestFit="1" customWidth="1"/>
    <col min="14" max="14" width="18" bestFit="1" customWidth="1"/>
    <col min="15" max="15" width="13.83203125" bestFit="1" customWidth="1"/>
    <col min="16" max="16" width="13.33203125" bestFit="1" customWidth="1"/>
    <col min="17" max="17" width="10.83203125" customWidth="1"/>
    <col min="18" max="18" width="18" bestFit="1" customWidth="1"/>
    <col min="19" max="19" width="15.33203125" bestFit="1" customWidth="1"/>
    <col min="20" max="20" width="13.1640625" bestFit="1" customWidth="1"/>
    <col min="22" max="22" width="18.5" bestFit="1" customWidth="1"/>
    <col min="23" max="23" width="14.5" bestFit="1" customWidth="1"/>
    <col min="24" max="24" width="12.83203125" bestFit="1" customWidth="1"/>
    <col min="25" max="25" width="12.5" bestFit="1" customWidth="1"/>
    <col min="26" max="26" width="12.83203125" bestFit="1" customWidth="1"/>
    <col min="27" max="27" width="14.5" bestFit="1" customWidth="1"/>
    <col min="30" max="30" width="17" bestFit="1" customWidth="1"/>
    <col min="31" max="31" width="14.5" bestFit="1" customWidth="1"/>
    <col min="34" max="34" width="18.5" bestFit="1" customWidth="1"/>
    <col min="35" max="35" width="13.6640625" bestFit="1" customWidth="1"/>
  </cols>
  <sheetData>
    <row r="2" spans="1:36" ht="63" x14ac:dyDescent="0.75">
      <c r="B2" s="46" t="s">
        <v>36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</row>
    <row r="3" spans="1:36" ht="29" x14ac:dyDescent="0.35">
      <c r="A3" s="47">
        <v>3.6900000000000002E-2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</row>
    <row r="5" spans="1:36" x14ac:dyDescent="0.2">
      <c r="F5" s="45" t="s">
        <v>8</v>
      </c>
      <c r="G5" s="45"/>
      <c r="H5" s="45"/>
      <c r="J5" s="45" t="s">
        <v>9</v>
      </c>
      <c r="K5" s="45"/>
      <c r="L5" s="45"/>
      <c r="N5" s="45" t="s">
        <v>10</v>
      </c>
      <c r="O5" s="45"/>
      <c r="P5" s="45"/>
      <c r="R5" s="45" t="s">
        <v>11</v>
      </c>
      <c r="S5" s="45"/>
      <c r="T5" s="45"/>
    </row>
    <row r="6" spans="1:36" x14ac:dyDescent="0.2">
      <c r="F6" t="s">
        <v>7</v>
      </c>
      <c r="G6" s="2" t="s">
        <v>4</v>
      </c>
      <c r="H6" s="1" t="s">
        <v>6</v>
      </c>
      <c r="J6" t="s">
        <v>7</v>
      </c>
      <c r="K6" s="2" t="s">
        <v>4</v>
      </c>
      <c r="L6" s="1" t="s">
        <v>6</v>
      </c>
      <c r="N6" t="s">
        <v>7</v>
      </c>
      <c r="O6" s="2" t="s">
        <v>4</v>
      </c>
      <c r="P6" s="1" t="s">
        <v>6</v>
      </c>
      <c r="R6" t="s">
        <v>7</v>
      </c>
      <c r="S6" s="2" t="s">
        <v>4</v>
      </c>
      <c r="T6" s="1" t="s">
        <v>6</v>
      </c>
    </row>
    <row r="7" spans="1:36" x14ac:dyDescent="0.2">
      <c r="F7" t="s">
        <v>5</v>
      </c>
      <c r="G7" s="2">
        <f>(150000*$A$3)+150000</f>
        <v>155535</v>
      </c>
      <c r="H7" s="1">
        <v>0</v>
      </c>
      <c r="J7" t="s">
        <v>5</v>
      </c>
      <c r="K7" s="2">
        <f>(60000*$A$3)+60000</f>
        <v>62214</v>
      </c>
      <c r="L7" s="1">
        <v>0</v>
      </c>
      <c r="N7" t="s">
        <v>5</v>
      </c>
      <c r="O7" s="2">
        <f>(65000*$A$3)+65000</f>
        <v>67398.5</v>
      </c>
      <c r="P7" s="1">
        <v>0</v>
      </c>
      <c r="R7" t="s">
        <v>5</v>
      </c>
      <c r="S7" s="2">
        <f>(550000*$A$3)+550000</f>
        <v>570295</v>
      </c>
      <c r="T7" s="1">
        <v>0</v>
      </c>
    </row>
    <row r="8" spans="1:36" x14ac:dyDescent="0.2">
      <c r="F8" t="s">
        <v>0</v>
      </c>
      <c r="G8" s="2">
        <f>(G7*H8)+G7</f>
        <v>163311.75</v>
      </c>
      <c r="H8" s="1">
        <v>0.05</v>
      </c>
      <c r="J8" t="s">
        <v>0</v>
      </c>
      <c r="K8" s="2">
        <f>(K7*L8)+K7</f>
        <v>65324.7</v>
      </c>
      <c r="L8" s="1">
        <v>0.05</v>
      </c>
      <c r="N8" t="s">
        <v>0</v>
      </c>
      <c r="O8" s="2">
        <f>(O7*P8)+O7</f>
        <v>70768.425000000003</v>
      </c>
      <c r="P8" s="1">
        <v>0.05</v>
      </c>
      <c r="R8" t="s">
        <v>0</v>
      </c>
      <c r="S8" s="2">
        <f>(S7*T8)+S7</f>
        <v>598809.75</v>
      </c>
      <c r="T8" s="1">
        <v>0.05</v>
      </c>
    </row>
    <row r="9" spans="1:36" x14ac:dyDescent="0.2">
      <c r="F9" t="s">
        <v>1</v>
      </c>
      <c r="G9" s="2">
        <f t="shared" ref="G9:G15" si="0">(G8*H9)+G8</f>
        <v>171477.33749999999</v>
      </c>
      <c r="H9" s="1">
        <v>0.05</v>
      </c>
      <c r="J9" t="s">
        <v>1</v>
      </c>
      <c r="K9" s="2">
        <f t="shared" ref="K9:K10" si="1">(K8*L9)+K8</f>
        <v>68590.934999999998</v>
      </c>
      <c r="L9" s="1">
        <v>0.05</v>
      </c>
      <c r="N9" t="s">
        <v>1</v>
      </c>
      <c r="O9" s="2">
        <f t="shared" ref="O9:O23" si="2">(O8*P9)+O8</f>
        <v>74306.846250000002</v>
      </c>
      <c r="P9" s="1">
        <v>0.05</v>
      </c>
      <c r="R9" t="s">
        <v>1</v>
      </c>
      <c r="S9" s="2">
        <f t="shared" ref="S9:S15" si="3">(S8*T9)+S8</f>
        <v>628750.23750000005</v>
      </c>
      <c r="T9" s="1">
        <v>0.05</v>
      </c>
    </row>
    <row r="10" spans="1:36" x14ac:dyDescent="0.2">
      <c r="F10" t="s">
        <v>2</v>
      </c>
      <c r="G10" s="2">
        <f t="shared" si="0"/>
        <v>180051.204375</v>
      </c>
      <c r="H10" s="1">
        <v>0.05</v>
      </c>
      <c r="J10" t="s">
        <v>2</v>
      </c>
      <c r="K10" s="2">
        <f t="shared" si="1"/>
        <v>72020.481749999992</v>
      </c>
      <c r="L10" s="1">
        <v>0.05</v>
      </c>
      <c r="N10" t="s">
        <v>2</v>
      </c>
      <c r="O10" s="2">
        <f t="shared" si="2"/>
        <v>78022.1885625</v>
      </c>
      <c r="P10" s="1">
        <v>0.05</v>
      </c>
      <c r="R10" t="s">
        <v>2</v>
      </c>
      <c r="S10" s="2">
        <f t="shared" si="3"/>
        <v>660187.74937500001</v>
      </c>
      <c r="T10" s="1">
        <v>0.05</v>
      </c>
    </row>
    <row r="11" spans="1:36" x14ac:dyDescent="0.2">
      <c r="F11" t="s">
        <v>3</v>
      </c>
      <c r="G11" s="2">
        <f t="shared" si="0"/>
        <v>189053.76459375001</v>
      </c>
      <c r="H11" s="1">
        <v>0.05</v>
      </c>
      <c r="J11" t="s">
        <v>3</v>
      </c>
      <c r="K11" s="2">
        <f>(K10*L11)+K10</f>
        <v>74181.09620249999</v>
      </c>
      <c r="L11" s="1">
        <v>0.03</v>
      </c>
      <c r="N11" t="s">
        <v>3</v>
      </c>
      <c r="O11" s="2">
        <f t="shared" si="2"/>
        <v>80362.854219375004</v>
      </c>
      <c r="P11" s="1">
        <v>0.03</v>
      </c>
      <c r="R11" t="s">
        <v>3</v>
      </c>
      <c r="S11" s="2">
        <f t="shared" si="3"/>
        <v>679993.38185624999</v>
      </c>
      <c r="T11" s="1">
        <v>0.03</v>
      </c>
    </row>
    <row r="12" spans="1:36" x14ac:dyDescent="0.2">
      <c r="B12" s="45" t="s">
        <v>41</v>
      </c>
      <c r="C12" s="45"/>
      <c r="D12" s="45"/>
      <c r="F12" s="12" t="s">
        <v>26</v>
      </c>
      <c r="G12" s="2">
        <f t="shared" si="0"/>
        <v>198506.45282343752</v>
      </c>
      <c r="H12" s="1">
        <v>0.05</v>
      </c>
      <c r="J12" s="12" t="s">
        <v>26</v>
      </c>
      <c r="K12" s="2">
        <f t="shared" ref="K12:K23" si="4">(K11*L12)+K11</f>
        <v>76406.529088574986</v>
      </c>
      <c r="L12" s="1">
        <v>0.03</v>
      </c>
      <c r="N12" s="12" t="s">
        <v>26</v>
      </c>
      <c r="O12" s="2">
        <f t="shared" si="2"/>
        <v>82773.739845956254</v>
      </c>
      <c r="P12" s="1">
        <v>0.03</v>
      </c>
      <c r="R12" s="12" t="s">
        <v>26</v>
      </c>
      <c r="S12" s="2">
        <f t="shared" si="3"/>
        <v>700393.18331193749</v>
      </c>
      <c r="T12" s="1">
        <v>0.03</v>
      </c>
      <c r="V12" s="25"/>
    </row>
    <row r="13" spans="1:36" x14ac:dyDescent="0.2">
      <c r="B13" t="s">
        <v>7</v>
      </c>
      <c r="C13" s="2" t="s">
        <v>4</v>
      </c>
      <c r="D13" s="1" t="s">
        <v>6</v>
      </c>
      <c r="F13" s="12" t="s">
        <v>27</v>
      </c>
      <c r="G13" s="2">
        <f>(G12*H13)+G12</f>
        <v>218357.09810578128</v>
      </c>
      <c r="H13" s="1">
        <v>0.1</v>
      </c>
      <c r="J13" s="12" t="s">
        <v>27</v>
      </c>
      <c r="K13" s="2">
        <f t="shared" si="4"/>
        <v>80226.855543003738</v>
      </c>
      <c r="L13" s="1">
        <v>0.05</v>
      </c>
      <c r="N13" s="12" t="s">
        <v>27</v>
      </c>
      <c r="O13" s="2">
        <f t="shared" si="2"/>
        <v>86912.426838254061</v>
      </c>
      <c r="P13" s="1">
        <v>0.05</v>
      </c>
      <c r="R13" s="12" t="s">
        <v>27</v>
      </c>
      <c r="S13" s="2">
        <f t="shared" si="3"/>
        <v>735412.84247753432</v>
      </c>
      <c r="T13" s="1">
        <v>0.05</v>
      </c>
    </row>
    <row r="14" spans="1:36" x14ac:dyDescent="0.2">
      <c r="B14" t="s">
        <v>5</v>
      </c>
      <c r="C14" s="2">
        <f>(120000*$A$3)+120000</f>
        <v>124428</v>
      </c>
      <c r="D14" s="1">
        <v>0</v>
      </c>
      <c r="F14" s="12" t="s">
        <v>28</v>
      </c>
      <c r="G14" s="2">
        <f t="shared" si="0"/>
        <v>240192.80791635939</v>
      </c>
      <c r="H14" s="1">
        <v>0.1</v>
      </c>
      <c r="J14" s="12" t="s">
        <v>28</v>
      </c>
      <c r="K14" s="2">
        <f t="shared" si="4"/>
        <v>88249.541097304114</v>
      </c>
      <c r="L14" s="1">
        <v>0.1</v>
      </c>
      <c r="N14" s="12" t="s">
        <v>28</v>
      </c>
      <c r="O14" s="2">
        <f t="shared" si="2"/>
        <v>95603.669522079465</v>
      </c>
      <c r="P14" s="1">
        <v>0.1</v>
      </c>
      <c r="R14" s="12" t="s">
        <v>28</v>
      </c>
      <c r="S14" s="2">
        <f t="shared" si="3"/>
        <v>772183.48460141104</v>
      </c>
      <c r="T14" s="1">
        <v>0.05</v>
      </c>
      <c r="V14" s="25"/>
    </row>
    <row r="15" spans="1:36" x14ac:dyDescent="0.2">
      <c r="B15" t="s">
        <v>0</v>
      </c>
      <c r="C15" s="2">
        <f>(C14*D15)+C14</f>
        <v>130649.4</v>
      </c>
      <c r="D15" s="1">
        <v>0.05</v>
      </c>
      <c r="F15" s="12" t="s">
        <v>29</v>
      </c>
      <c r="G15" s="2">
        <f t="shared" si="0"/>
        <v>264212.08870799531</v>
      </c>
      <c r="H15" s="1">
        <v>0.1</v>
      </c>
      <c r="J15" s="12" t="s">
        <v>29</v>
      </c>
      <c r="K15" s="2">
        <f t="shared" si="4"/>
        <v>97074.495207034532</v>
      </c>
      <c r="L15" s="1">
        <v>0.1</v>
      </c>
      <c r="N15" s="12" t="s">
        <v>29</v>
      </c>
      <c r="O15" s="2">
        <f t="shared" si="2"/>
        <v>105164.03647428741</v>
      </c>
      <c r="P15" s="1">
        <v>0.1</v>
      </c>
      <c r="R15" s="12" t="s">
        <v>29</v>
      </c>
      <c r="S15" s="2">
        <f t="shared" si="3"/>
        <v>810792.65883148159</v>
      </c>
      <c r="T15" s="1">
        <v>0.05</v>
      </c>
    </row>
    <row r="16" spans="1:36" x14ac:dyDescent="0.2">
      <c r="B16" t="s">
        <v>1</v>
      </c>
      <c r="C16" s="2">
        <f t="shared" ref="C16:C27" si="5">(C15*D16)+C15</f>
        <v>137181.87</v>
      </c>
      <c r="D16" s="1">
        <v>0.05</v>
      </c>
      <c r="F16" s="12" t="s">
        <v>37</v>
      </c>
      <c r="G16" s="2">
        <f>G15+Tabla3155[[#This Row],[Incremento]]</f>
        <v>264212.18870799529</v>
      </c>
      <c r="H16" s="1">
        <v>0.1</v>
      </c>
      <c r="J16" s="12" t="s">
        <v>37</v>
      </c>
      <c r="K16" s="2">
        <f t="shared" si="4"/>
        <v>106781.94472773798</v>
      </c>
      <c r="L16" s="1">
        <v>0.1</v>
      </c>
      <c r="N16" s="12" t="s">
        <v>37</v>
      </c>
      <c r="O16" s="2">
        <f t="shared" si="2"/>
        <v>115680.44012171615</v>
      </c>
      <c r="P16" s="1">
        <v>0.1</v>
      </c>
      <c r="R16" s="12" t="s">
        <v>37</v>
      </c>
      <c r="S16" s="2">
        <f>S15+Tabla3155[[#This Row],[Incremento]]</f>
        <v>810792.75883148157</v>
      </c>
      <c r="T16" s="1">
        <v>0.1</v>
      </c>
    </row>
    <row r="17" spans="2:27" x14ac:dyDescent="0.2">
      <c r="B17" t="s">
        <v>2</v>
      </c>
      <c r="C17" s="2">
        <f t="shared" si="5"/>
        <v>144040.96349999998</v>
      </c>
      <c r="D17" s="1">
        <v>0.05</v>
      </c>
      <c r="F17" s="12" t="s">
        <v>38</v>
      </c>
      <c r="G17" s="2">
        <f>G16+Tabla3155[[#This Row],[Incremento]]</f>
        <v>264212.28870799526</v>
      </c>
      <c r="H17" s="1">
        <v>0.1</v>
      </c>
      <c r="J17" s="12" t="s">
        <v>38</v>
      </c>
      <c r="K17" s="2">
        <f t="shared" si="4"/>
        <v>117460.13920051178</v>
      </c>
      <c r="L17" s="1">
        <v>0.1</v>
      </c>
      <c r="N17" s="12" t="s">
        <v>38</v>
      </c>
      <c r="O17" s="2">
        <f t="shared" si="2"/>
        <v>127248.48413388777</v>
      </c>
      <c r="P17" s="1">
        <v>0.1</v>
      </c>
      <c r="R17" s="12" t="s">
        <v>38</v>
      </c>
      <c r="S17" s="2">
        <f>S16+Tabla3155[[#This Row],[Incremento]]</f>
        <v>810792.85883148154</v>
      </c>
      <c r="T17" s="1">
        <v>0.1</v>
      </c>
    </row>
    <row r="18" spans="2:27" x14ac:dyDescent="0.2">
      <c r="B18" t="s">
        <v>3</v>
      </c>
      <c r="C18" s="2">
        <f t="shared" si="5"/>
        <v>151243.01167499999</v>
      </c>
      <c r="D18" s="1">
        <v>0.05</v>
      </c>
      <c r="F18" s="12" t="s">
        <v>39</v>
      </c>
      <c r="G18" s="2">
        <f>G17+Tabla3155[[#This Row],[Incremento]]</f>
        <v>264212.38870799524</v>
      </c>
      <c r="H18" s="1">
        <v>0.1</v>
      </c>
      <c r="J18" s="12" t="s">
        <v>39</v>
      </c>
      <c r="K18" s="2">
        <f t="shared" si="4"/>
        <v>129206.15312056296</v>
      </c>
      <c r="L18" s="1">
        <v>0.1</v>
      </c>
      <c r="N18" s="12" t="s">
        <v>39</v>
      </c>
      <c r="O18" s="2">
        <f t="shared" si="2"/>
        <v>139973.33254727654</v>
      </c>
      <c r="P18" s="1">
        <v>0.1</v>
      </c>
      <c r="R18" s="12" t="s">
        <v>39</v>
      </c>
      <c r="S18" s="2">
        <f>S17+Tabla3155[[#This Row],[Incremento]]</f>
        <v>810792.95883148152</v>
      </c>
      <c r="T18" s="1">
        <v>0.1</v>
      </c>
    </row>
    <row r="19" spans="2:27" x14ac:dyDescent="0.2">
      <c r="B19" s="12" t="s">
        <v>26</v>
      </c>
      <c r="C19" s="2">
        <f t="shared" si="5"/>
        <v>158805.16225874997</v>
      </c>
      <c r="D19" s="1">
        <v>0.05</v>
      </c>
      <c r="F19" s="12" t="s">
        <v>40</v>
      </c>
      <c r="G19" s="2">
        <f>G18+Tabla3155[[#This Row],[Incremento]]</f>
        <v>264212.48870799522</v>
      </c>
      <c r="H19" s="1">
        <v>0.1</v>
      </c>
      <c r="J19" s="12" t="s">
        <v>40</v>
      </c>
      <c r="K19" s="2">
        <f t="shared" si="4"/>
        <v>142126.76843261925</v>
      </c>
      <c r="L19" s="1">
        <v>0.1</v>
      </c>
      <c r="N19" s="12" t="s">
        <v>40</v>
      </c>
      <c r="O19" s="2">
        <f t="shared" si="2"/>
        <v>153970.66580200419</v>
      </c>
      <c r="P19" s="1">
        <v>0.1</v>
      </c>
      <c r="R19" s="12" t="s">
        <v>40</v>
      </c>
      <c r="S19" s="2">
        <f>S18+Tabla3155[[#This Row],[Incremento]]</f>
        <v>810793.0588314815</v>
      </c>
      <c r="T19" s="1">
        <v>0.1</v>
      </c>
    </row>
    <row r="20" spans="2:27" ht="16" customHeight="1" x14ac:dyDescent="0.2">
      <c r="B20" s="12" t="s">
        <v>27</v>
      </c>
      <c r="C20" s="2">
        <f t="shared" si="5"/>
        <v>174685.67848462498</v>
      </c>
      <c r="D20" s="1">
        <v>0.1</v>
      </c>
      <c r="F20" s="12" t="s">
        <v>49</v>
      </c>
      <c r="G20" s="2">
        <f t="shared" ref="G20:G23" si="6">(G19*H20)+G19</f>
        <v>303844.36201419448</v>
      </c>
      <c r="H20" s="1">
        <v>0.15</v>
      </c>
      <c r="J20" s="12" t="s">
        <v>49</v>
      </c>
      <c r="K20" s="2">
        <f t="shared" si="4"/>
        <v>163445.78369751215</v>
      </c>
      <c r="L20" s="1">
        <v>0.15</v>
      </c>
      <c r="N20" s="12" t="s">
        <v>49</v>
      </c>
      <c r="O20" s="2">
        <f t="shared" si="2"/>
        <v>177066.26567230481</v>
      </c>
      <c r="P20" s="1">
        <v>0.15</v>
      </c>
      <c r="R20" s="12" t="s">
        <v>49</v>
      </c>
      <c r="S20" s="2">
        <f t="shared" ref="S20:S23" si="7">(S19*T20)+S19</f>
        <v>932412.01765620371</v>
      </c>
      <c r="T20" s="1">
        <v>0.15</v>
      </c>
    </row>
    <row r="21" spans="2:27" x14ac:dyDescent="0.2">
      <c r="B21" s="12" t="s">
        <v>28</v>
      </c>
      <c r="C21" s="2">
        <f t="shared" si="5"/>
        <v>192154.24633308747</v>
      </c>
      <c r="D21" s="1">
        <v>0.1</v>
      </c>
      <c r="F21" s="12" t="s">
        <v>50</v>
      </c>
      <c r="G21" s="2">
        <f t="shared" si="6"/>
        <v>349421.01631632366</v>
      </c>
      <c r="H21" s="1">
        <v>0.15</v>
      </c>
      <c r="J21" s="12" t="s">
        <v>50</v>
      </c>
      <c r="K21" s="2">
        <f t="shared" si="4"/>
        <v>187962.65125213895</v>
      </c>
      <c r="L21" s="1">
        <v>0.15</v>
      </c>
      <c r="N21" s="12" t="s">
        <v>50</v>
      </c>
      <c r="O21" s="2">
        <f t="shared" si="2"/>
        <v>203626.20552315054</v>
      </c>
      <c r="P21" s="1">
        <v>0.15</v>
      </c>
      <c r="R21" s="12" t="s">
        <v>50</v>
      </c>
      <c r="S21" s="2">
        <f t="shared" si="7"/>
        <v>1072273.8203046343</v>
      </c>
      <c r="T21" s="1">
        <v>0.15</v>
      </c>
    </row>
    <row r="22" spans="2:27" x14ac:dyDescent="0.2">
      <c r="B22" s="12" t="s">
        <v>29</v>
      </c>
      <c r="C22" s="2">
        <f t="shared" si="5"/>
        <v>211369.67096639622</v>
      </c>
      <c r="D22" s="1">
        <v>0.1</v>
      </c>
      <c r="F22" s="12" t="s">
        <v>51</v>
      </c>
      <c r="G22" s="2">
        <f t="shared" si="6"/>
        <v>401834.16876377224</v>
      </c>
      <c r="H22" s="1">
        <v>0.15</v>
      </c>
      <c r="J22" s="12" t="s">
        <v>51</v>
      </c>
      <c r="K22" s="2">
        <f t="shared" si="4"/>
        <v>216157.04893995979</v>
      </c>
      <c r="L22" s="1">
        <v>0.15</v>
      </c>
      <c r="N22" s="12" t="s">
        <v>51</v>
      </c>
      <c r="O22" s="2">
        <f t="shared" si="2"/>
        <v>234170.13635162311</v>
      </c>
      <c r="P22" s="1">
        <v>0.15</v>
      </c>
      <c r="R22" s="12" t="s">
        <v>51</v>
      </c>
      <c r="S22" s="2">
        <f t="shared" si="7"/>
        <v>1233114.8933503295</v>
      </c>
      <c r="T22" s="1">
        <v>0.15</v>
      </c>
    </row>
    <row r="23" spans="2:27" x14ac:dyDescent="0.2">
      <c r="B23" s="12" t="s">
        <v>37</v>
      </c>
      <c r="C23" s="2">
        <f t="shared" si="5"/>
        <v>232506.63806303585</v>
      </c>
      <c r="D23" s="1">
        <v>0.1</v>
      </c>
      <c r="F23" s="12" t="s">
        <v>52</v>
      </c>
      <c r="G23" s="2">
        <f t="shared" si="6"/>
        <v>462109.29407833808</v>
      </c>
      <c r="H23" s="1">
        <v>0.15</v>
      </c>
      <c r="J23" s="12" t="s">
        <v>52</v>
      </c>
      <c r="K23" s="2">
        <f t="shared" si="4"/>
        <v>248580.60628095374</v>
      </c>
      <c r="L23" s="1">
        <v>0.15</v>
      </c>
      <c r="N23" s="12" t="s">
        <v>52</v>
      </c>
      <c r="O23" s="2">
        <f t="shared" si="2"/>
        <v>269295.65680436656</v>
      </c>
      <c r="P23" s="1">
        <v>0.15</v>
      </c>
      <c r="R23" s="12" t="s">
        <v>52</v>
      </c>
      <c r="S23" s="2">
        <f t="shared" si="7"/>
        <v>1418082.1273528789</v>
      </c>
      <c r="T23" s="1">
        <v>0.15</v>
      </c>
    </row>
    <row r="24" spans="2:27" ht="17" thickBot="1" x14ac:dyDescent="0.25">
      <c r="B24" s="12" t="s">
        <v>38</v>
      </c>
      <c r="C24" s="2">
        <f t="shared" si="5"/>
        <v>255757.30186933943</v>
      </c>
      <c r="D24" s="1">
        <v>0.1</v>
      </c>
      <c r="W24" s="44"/>
      <c r="X24" s="42"/>
    </row>
    <row r="25" spans="2:27" x14ac:dyDescent="0.2">
      <c r="B25" s="12" t="s">
        <v>39</v>
      </c>
      <c r="C25" s="2">
        <f t="shared" si="5"/>
        <v>281333.03205627337</v>
      </c>
      <c r="D25" s="1">
        <v>0.1</v>
      </c>
      <c r="W25" s="42"/>
    </row>
    <row r="26" spans="2:27" x14ac:dyDescent="0.2">
      <c r="B26" s="12" t="s">
        <v>40</v>
      </c>
      <c r="C26" s="2">
        <f t="shared" si="5"/>
        <v>309466.33526190068</v>
      </c>
      <c r="D26" s="1">
        <v>0.1</v>
      </c>
      <c r="F26" s="13" t="s">
        <v>12</v>
      </c>
      <c r="G26" s="13"/>
      <c r="H26" s="13"/>
      <c r="J26" s="13" t="s">
        <v>13</v>
      </c>
      <c r="K26" s="13"/>
      <c r="L26" s="13"/>
      <c r="N26" s="13" t="s">
        <v>15</v>
      </c>
      <c r="O26" s="13"/>
      <c r="P26" s="13"/>
      <c r="R26" s="13" t="s">
        <v>14</v>
      </c>
      <c r="S26" s="13"/>
      <c r="T26" s="13"/>
    </row>
    <row r="27" spans="2:27" x14ac:dyDescent="0.2">
      <c r="B27" s="12" t="s">
        <v>49</v>
      </c>
      <c r="C27" s="2">
        <f t="shared" si="5"/>
        <v>355886.28555118578</v>
      </c>
      <c r="D27" s="1">
        <v>0.15</v>
      </c>
      <c r="F27" s="6" t="s">
        <v>7</v>
      </c>
      <c r="G27" s="7" t="s">
        <v>4</v>
      </c>
      <c r="H27" s="8" t="s">
        <v>6</v>
      </c>
      <c r="J27" t="s">
        <v>7</v>
      </c>
      <c r="K27" s="2" t="s">
        <v>4</v>
      </c>
      <c r="L27" s="1" t="s">
        <v>6</v>
      </c>
      <c r="N27" t="s">
        <v>7</v>
      </c>
      <c r="O27" s="2" t="s">
        <v>4</v>
      </c>
      <c r="P27" s="1" t="s">
        <v>6</v>
      </c>
      <c r="R27" t="s">
        <v>7</v>
      </c>
      <c r="S27" s="2" t="s">
        <v>4</v>
      </c>
      <c r="T27" s="1" t="s">
        <v>6</v>
      </c>
      <c r="X27" s="2"/>
      <c r="Y27" s="25"/>
      <c r="Z27" s="25"/>
    </row>
    <row r="28" spans="2:27" x14ac:dyDescent="0.2">
      <c r="B28" s="12" t="s">
        <v>50</v>
      </c>
      <c r="C28" s="2">
        <f t="shared" ref="C28:C30" si="8">(C27*D28)+C27</f>
        <v>409269.22838386364</v>
      </c>
      <c r="D28" s="1">
        <v>0.15</v>
      </c>
      <c r="F28" s="9" t="s">
        <v>5</v>
      </c>
      <c r="G28" s="19">
        <v>85000</v>
      </c>
      <c r="H28" s="11"/>
      <c r="J28" t="s">
        <v>5</v>
      </c>
      <c r="K28" s="19">
        <f>(160000*$A$3)+160000</f>
        <v>165904</v>
      </c>
      <c r="L28" s="1"/>
      <c r="N28" t="s">
        <v>5</v>
      </c>
      <c r="O28" s="19">
        <f>(180000*$A$3)+180000</f>
        <v>186642</v>
      </c>
      <c r="P28" s="1"/>
      <c r="R28" t="s">
        <v>5</v>
      </c>
      <c r="S28" s="19">
        <v>95000</v>
      </c>
      <c r="T28" s="1">
        <v>0</v>
      </c>
      <c r="X28" s="2"/>
      <c r="Y28" s="25"/>
      <c r="Z28" s="25"/>
    </row>
    <row r="29" spans="2:27" x14ac:dyDescent="0.2">
      <c r="B29" s="12" t="s">
        <v>51</v>
      </c>
      <c r="C29" s="2">
        <f t="shared" si="8"/>
        <v>470659.61264144315</v>
      </c>
      <c r="D29" s="1">
        <v>0.15</v>
      </c>
      <c r="F29" s="16" t="s">
        <v>0</v>
      </c>
      <c r="G29" s="17">
        <f>(G28*H29)+G28</f>
        <v>85000</v>
      </c>
      <c r="H29" s="21">
        <v>0</v>
      </c>
      <c r="J29" t="s">
        <v>0</v>
      </c>
      <c r="K29" s="2">
        <f>(K28*L29)+K28</f>
        <v>174199.2</v>
      </c>
      <c r="L29" s="1">
        <v>0.05</v>
      </c>
      <c r="N29" t="s">
        <v>0</v>
      </c>
      <c r="O29" s="2">
        <f>(O28*P29)+O28</f>
        <v>195974.1</v>
      </c>
      <c r="P29" s="1">
        <v>0.05</v>
      </c>
      <c r="R29" t="s">
        <v>0</v>
      </c>
      <c r="S29" s="2">
        <f>(S28*T29)+S28</f>
        <v>99750</v>
      </c>
      <c r="T29" s="1">
        <v>0.05</v>
      </c>
      <c r="X29" s="2"/>
      <c r="Y29" s="25"/>
      <c r="Z29" s="25"/>
      <c r="AA29" s="25"/>
    </row>
    <row r="30" spans="2:27" x14ac:dyDescent="0.2">
      <c r="B30" s="12" t="s">
        <v>52</v>
      </c>
      <c r="C30" s="2">
        <f t="shared" si="8"/>
        <v>541258.55453765963</v>
      </c>
      <c r="D30" s="1">
        <v>0.15</v>
      </c>
      <c r="F30" s="15" t="s">
        <v>1</v>
      </c>
      <c r="G30" s="19">
        <f t="shared" ref="G30:G44" si="9">(G29*H30)+G29</f>
        <v>85000</v>
      </c>
      <c r="H30" s="22">
        <v>0</v>
      </c>
      <c r="J30" t="s">
        <v>1</v>
      </c>
      <c r="K30" s="2">
        <f t="shared" ref="K30:K44" si="10">(K29*L30)+K29</f>
        <v>182909.16</v>
      </c>
      <c r="L30" s="1">
        <v>0.05</v>
      </c>
      <c r="N30" t="s">
        <v>1</v>
      </c>
      <c r="O30" s="2">
        <f t="shared" ref="O30:O44" si="11">(O29*P30)+O29</f>
        <v>205772.80499999999</v>
      </c>
      <c r="P30" s="1">
        <v>0.05</v>
      </c>
      <c r="R30" t="s">
        <v>1</v>
      </c>
      <c r="S30" s="2">
        <f>(S29*T30)+S29</f>
        <v>104737.5</v>
      </c>
      <c r="T30" s="1">
        <v>0.05</v>
      </c>
      <c r="X30" s="2"/>
      <c r="Y30" s="25"/>
      <c r="Z30" s="25"/>
    </row>
    <row r="31" spans="2:27" x14ac:dyDescent="0.2">
      <c r="F31" s="16" t="s">
        <v>2</v>
      </c>
      <c r="G31" s="17">
        <f t="shared" si="9"/>
        <v>85000</v>
      </c>
      <c r="H31" s="21">
        <v>0</v>
      </c>
      <c r="J31" t="s">
        <v>2</v>
      </c>
      <c r="K31" s="2">
        <f t="shared" si="10"/>
        <v>192054.61800000002</v>
      </c>
      <c r="L31" s="1">
        <v>0.05</v>
      </c>
      <c r="N31" t="s">
        <v>2</v>
      </c>
      <c r="O31" s="2">
        <f t="shared" si="11"/>
        <v>216061.44524999999</v>
      </c>
      <c r="P31" s="1">
        <v>0.05</v>
      </c>
      <c r="R31" t="s">
        <v>2</v>
      </c>
      <c r="S31" s="2">
        <f t="shared" ref="S31:S44" si="12">(S30*T31)+S30</f>
        <v>109974.375</v>
      </c>
      <c r="T31" s="1">
        <v>0.05</v>
      </c>
    </row>
    <row r="32" spans="2:27" x14ac:dyDescent="0.2">
      <c r="F32" s="15" t="s">
        <v>3</v>
      </c>
      <c r="G32" s="19">
        <f t="shared" si="9"/>
        <v>85000</v>
      </c>
      <c r="H32" s="22">
        <v>0</v>
      </c>
      <c r="J32" t="s">
        <v>3</v>
      </c>
      <c r="K32" s="2">
        <f t="shared" si="10"/>
        <v>197816.25654000003</v>
      </c>
      <c r="L32" s="1">
        <v>0.03</v>
      </c>
      <c r="N32" t="s">
        <v>3</v>
      </c>
      <c r="O32" s="2">
        <f t="shared" si="11"/>
        <v>222543.2886075</v>
      </c>
      <c r="P32" s="1">
        <v>0.03</v>
      </c>
      <c r="R32" t="s">
        <v>3</v>
      </c>
      <c r="S32" s="2">
        <f t="shared" si="12"/>
        <v>115473.09375</v>
      </c>
      <c r="T32" s="1">
        <v>0.05</v>
      </c>
      <c r="X32" s="17"/>
      <c r="Y32" s="25"/>
      <c r="Z32" s="25"/>
    </row>
    <row r="33" spans="6:27" x14ac:dyDescent="0.2">
      <c r="F33" s="23" t="s">
        <v>26</v>
      </c>
      <c r="G33" s="17">
        <f t="shared" si="9"/>
        <v>85000</v>
      </c>
      <c r="H33" s="21">
        <v>0</v>
      </c>
      <c r="J33" s="12" t="s">
        <v>26</v>
      </c>
      <c r="K33" s="2">
        <f t="shared" si="10"/>
        <v>203750.74423620003</v>
      </c>
      <c r="L33" s="1">
        <v>0.03</v>
      </c>
      <c r="N33" s="12" t="s">
        <v>26</v>
      </c>
      <c r="O33" s="2">
        <f t="shared" si="11"/>
        <v>229219.58726572499</v>
      </c>
      <c r="P33" s="1">
        <v>0.03</v>
      </c>
      <c r="R33" s="12" t="s">
        <v>26</v>
      </c>
      <c r="S33" s="2">
        <f t="shared" si="12"/>
        <v>127020.403125</v>
      </c>
      <c r="T33" s="1">
        <v>0.1</v>
      </c>
      <c r="X33" s="2"/>
      <c r="Y33" s="25"/>
      <c r="Z33" s="25"/>
    </row>
    <row r="34" spans="6:27" x14ac:dyDescent="0.2">
      <c r="F34" s="24" t="s">
        <v>27</v>
      </c>
      <c r="G34" s="19">
        <f t="shared" si="9"/>
        <v>85000</v>
      </c>
      <c r="H34" s="22">
        <v>0</v>
      </c>
      <c r="J34" s="12" t="s">
        <v>27</v>
      </c>
      <c r="K34" s="2">
        <f t="shared" si="10"/>
        <v>213938.28144801004</v>
      </c>
      <c r="L34" s="1">
        <v>0.05</v>
      </c>
      <c r="N34" s="12" t="s">
        <v>27</v>
      </c>
      <c r="O34" s="2">
        <f t="shared" si="11"/>
        <v>240680.56662901124</v>
      </c>
      <c r="P34" s="1">
        <v>0.05</v>
      </c>
      <c r="R34" s="12" t="s">
        <v>27</v>
      </c>
      <c r="S34" s="2">
        <f t="shared" si="12"/>
        <v>139722.44343749998</v>
      </c>
      <c r="T34" s="1">
        <v>0.1</v>
      </c>
      <c r="X34" s="2"/>
      <c r="Y34" s="25"/>
      <c r="Z34" s="25"/>
      <c r="AA34" s="25"/>
    </row>
    <row r="35" spans="6:27" x14ac:dyDescent="0.2">
      <c r="F35" s="23" t="s">
        <v>28</v>
      </c>
      <c r="G35" s="17">
        <f t="shared" si="9"/>
        <v>85000</v>
      </c>
      <c r="H35" s="21">
        <v>0</v>
      </c>
      <c r="J35" s="12" t="s">
        <v>28</v>
      </c>
      <c r="K35" s="2">
        <f t="shared" si="10"/>
        <v>224635.19552041055</v>
      </c>
      <c r="L35" s="1">
        <v>0.05</v>
      </c>
      <c r="N35" s="12" t="s">
        <v>28</v>
      </c>
      <c r="O35" s="2">
        <f t="shared" si="11"/>
        <v>252714.59496046181</v>
      </c>
      <c r="P35" s="1">
        <v>0.05</v>
      </c>
      <c r="R35" s="12" t="s">
        <v>28</v>
      </c>
      <c r="S35" s="2">
        <f t="shared" si="12"/>
        <v>153694.68778124999</v>
      </c>
      <c r="T35" s="1">
        <v>0.1</v>
      </c>
      <c r="X35" s="2"/>
      <c r="Y35" s="25"/>
      <c r="Z35" s="25"/>
    </row>
    <row r="36" spans="6:27" x14ac:dyDescent="0.2">
      <c r="F36" s="24" t="s">
        <v>29</v>
      </c>
      <c r="G36" s="19">
        <f t="shared" si="9"/>
        <v>85000</v>
      </c>
      <c r="H36" s="22">
        <v>0</v>
      </c>
      <c r="J36" s="12" t="s">
        <v>29</v>
      </c>
      <c r="K36" s="2">
        <f t="shared" si="10"/>
        <v>235866.95529643109</v>
      </c>
      <c r="L36" s="1">
        <v>0.05</v>
      </c>
      <c r="N36" s="12" t="s">
        <v>29</v>
      </c>
      <c r="O36" s="2">
        <f t="shared" si="11"/>
        <v>265350.32470848493</v>
      </c>
      <c r="P36" s="1">
        <v>0.05</v>
      </c>
      <c r="R36" s="12" t="s">
        <v>29</v>
      </c>
      <c r="S36" s="2">
        <f t="shared" si="12"/>
        <v>169064.156559375</v>
      </c>
      <c r="T36" s="1">
        <v>0.1</v>
      </c>
    </row>
    <row r="37" spans="6:27" x14ac:dyDescent="0.2">
      <c r="F37" s="23" t="s">
        <v>37</v>
      </c>
      <c r="G37" s="19">
        <f t="shared" si="9"/>
        <v>85000</v>
      </c>
      <c r="H37" s="22">
        <v>0</v>
      </c>
      <c r="J37" s="12" t="s">
        <v>37</v>
      </c>
      <c r="K37" s="2">
        <f t="shared" si="10"/>
        <v>259453.65082607418</v>
      </c>
      <c r="L37" s="1">
        <v>0.1</v>
      </c>
      <c r="N37" s="12" t="s">
        <v>37</v>
      </c>
      <c r="O37" s="2">
        <f t="shared" si="11"/>
        <v>291885.3571793334</v>
      </c>
      <c r="P37" s="1">
        <v>0.1</v>
      </c>
      <c r="R37" s="12" t="s">
        <v>37</v>
      </c>
      <c r="S37" s="2">
        <f t="shared" si="12"/>
        <v>185970.57221531251</v>
      </c>
      <c r="T37" s="1">
        <v>0.1</v>
      </c>
    </row>
    <row r="38" spans="6:27" x14ac:dyDescent="0.2">
      <c r="F38" s="24" t="s">
        <v>38</v>
      </c>
      <c r="G38" s="19">
        <f t="shared" si="9"/>
        <v>85000</v>
      </c>
      <c r="H38" s="22">
        <v>0</v>
      </c>
      <c r="J38" s="12" t="s">
        <v>38</v>
      </c>
      <c r="K38" s="2">
        <f t="shared" si="10"/>
        <v>285399.01590868161</v>
      </c>
      <c r="L38" s="1">
        <v>0.1</v>
      </c>
      <c r="N38" s="12" t="s">
        <v>38</v>
      </c>
      <c r="O38" s="2">
        <f t="shared" si="11"/>
        <v>321073.89289726672</v>
      </c>
      <c r="P38" s="1">
        <v>0.1</v>
      </c>
      <c r="R38" s="12" t="s">
        <v>38</v>
      </c>
      <c r="S38" s="2">
        <f t="shared" si="12"/>
        <v>204567.62943684377</v>
      </c>
      <c r="T38" s="1">
        <v>0.1</v>
      </c>
    </row>
    <row r="39" spans="6:27" x14ac:dyDescent="0.2">
      <c r="F39" s="23" t="s">
        <v>39</v>
      </c>
      <c r="G39" s="19">
        <f t="shared" si="9"/>
        <v>85000</v>
      </c>
      <c r="H39" s="22">
        <v>0</v>
      </c>
      <c r="J39" s="12" t="s">
        <v>39</v>
      </c>
      <c r="K39" s="2">
        <f t="shared" si="10"/>
        <v>313938.9174995498</v>
      </c>
      <c r="L39" s="1">
        <v>0.1</v>
      </c>
      <c r="N39" s="12" t="s">
        <v>39</v>
      </c>
      <c r="O39" s="2">
        <f t="shared" si="11"/>
        <v>353181.2821869934</v>
      </c>
      <c r="P39" s="1">
        <v>0.1</v>
      </c>
      <c r="R39" s="12" t="s">
        <v>39</v>
      </c>
      <c r="S39" s="2">
        <f t="shared" si="12"/>
        <v>225024.39238052815</v>
      </c>
      <c r="T39" s="1">
        <v>0.1</v>
      </c>
    </row>
    <row r="40" spans="6:27" x14ac:dyDescent="0.2">
      <c r="F40" s="24" t="s">
        <v>40</v>
      </c>
      <c r="G40" s="19">
        <f t="shared" si="9"/>
        <v>85000</v>
      </c>
      <c r="H40" s="22">
        <v>0</v>
      </c>
      <c r="J40" s="12" t="s">
        <v>40</v>
      </c>
      <c r="K40" s="2">
        <f t="shared" si="10"/>
        <v>345332.80924950476</v>
      </c>
      <c r="L40" s="1">
        <v>0.1</v>
      </c>
      <c r="N40" s="12" t="s">
        <v>40</v>
      </c>
      <c r="O40" s="2">
        <f t="shared" si="11"/>
        <v>388499.41040569276</v>
      </c>
      <c r="P40" s="1">
        <v>0.1</v>
      </c>
      <c r="R40" s="12" t="s">
        <v>40</v>
      </c>
      <c r="S40" s="2">
        <f t="shared" si="12"/>
        <v>247526.83161858097</v>
      </c>
      <c r="T40" s="1">
        <v>0.1</v>
      </c>
    </row>
    <row r="41" spans="6:27" ht="17" thickBot="1" x14ac:dyDescent="0.25">
      <c r="F41" s="23" t="s">
        <v>49</v>
      </c>
      <c r="G41" s="17">
        <f t="shared" si="9"/>
        <v>102000</v>
      </c>
      <c r="H41" s="21">
        <v>0.2</v>
      </c>
      <c r="J41" s="12" t="s">
        <v>49</v>
      </c>
      <c r="K41" s="2">
        <f t="shared" si="10"/>
        <v>397132.73063693044</v>
      </c>
      <c r="L41" s="1">
        <v>0.15</v>
      </c>
      <c r="N41" s="12" t="s">
        <v>49</v>
      </c>
      <c r="O41" s="2">
        <f t="shared" si="11"/>
        <v>446774.3219665467</v>
      </c>
      <c r="P41" s="1">
        <v>0.15</v>
      </c>
      <c r="R41" s="12" t="s">
        <v>49</v>
      </c>
      <c r="S41" s="2">
        <f t="shared" si="12"/>
        <v>284655.85636136809</v>
      </c>
      <c r="T41" s="1">
        <v>0.15</v>
      </c>
    </row>
    <row r="42" spans="6:27" ht="17" thickBot="1" x14ac:dyDescent="0.25">
      <c r="F42" s="24" t="s">
        <v>50</v>
      </c>
      <c r="G42" s="19">
        <f t="shared" si="9"/>
        <v>117300</v>
      </c>
      <c r="H42" s="22">
        <v>0.15</v>
      </c>
      <c r="J42" s="12" t="s">
        <v>50</v>
      </c>
      <c r="K42" s="2">
        <f t="shared" si="10"/>
        <v>456702.64023247</v>
      </c>
      <c r="L42" s="1">
        <v>0.15</v>
      </c>
      <c r="N42" s="12" t="s">
        <v>50</v>
      </c>
      <c r="O42" s="2">
        <f t="shared" si="11"/>
        <v>513790.47026152874</v>
      </c>
      <c r="P42" s="1">
        <v>0.15</v>
      </c>
      <c r="R42" s="12" t="s">
        <v>50</v>
      </c>
      <c r="S42" s="2">
        <f t="shared" si="12"/>
        <v>327354.23481557332</v>
      </c>
      <c r="T42" s="1">
        <v>0.15</v>
      </c>
      <c r="Y42" s="43"/>
    </row>
    <row r="43" spans="6:27" x14ac:dyDescent="0.2">
      <c r="F43" s="23" t="s">
        <v>51</v>
      </c>
      <c r="G43" s="17">
        <f t="shared" si="9"/>
        <v>134895</v>
      </c>
      <c r="H43" s="21">
        <v>0.15</v>
      </c>
      <c r="J43" s="12" t="s">
        <v>51</v>
      </c>
      <c r="K43" s="2">
        <f t="shared" si="10"/>
        <v>525208.03626734053</v>
      </c>
      <c r="L43" s="1">
        <v>0.15</v>
      </c>
      <c r="N43" s="12" t="s">
        <v>51</v>
      </c>
      <c r="O43" s="2">
        <f t="shared" si="11"/>
        <v>590859.04080075806</v>
      </c>
      <c r="P43" s="1">
        <v>0.15</v>
      </c>
      <c r="R43" s="12" t="s">
        <v>51</v>
      </c>
      <c r="S43" s="2">
        <f t="shared" si="12"/>
        <v>376457.37003790931</v>
      </c>
      <c r="T43" s="1">
        <v>0.15</v>
      </c>
      <c r="Y43" s="42"/>
    </row>
    <row r="44" spans="6:27" x14ac:dyDescent="0.2">
      <c r="F44" s="24" t="s">
        <v>52</v>
      </c>
      <c r="G44" s="19">
        <f t="shared" si="9"/>
        <v>155129.25</v>
      </c>
      <c r="H44" s="22">
        <v>0.15</v>
      </c>
      <c r="J44" s="12" t="s">
        <v>52</v>
      </c>
      <c r="K44" s="2">
        <f t="shared" si="10"/>
        <v>603989.24170744163</v>
      </c>
      <c r="L44" s="1">
        <v>0.15</v>
      </c>
      <c r="N44" s="12" t="s">
        <v>52</v>
      </c>
      <c r="O44" s="2">
        <f t="shared" si="11"/>
        <v>679487.8969208718</v>
      </c>
      <c r="P44" s="1">
        <v>0.15</v>
      </c>
      <c r="R44" s="12" t="s">
        <v>52</v>
      </c>
      <c r="S44" s="2">
        <f t="shared" si="12"/>
        <v>432925.97554359568</v>
      </c>
      <c r="T44" s="1">
        <v>0.15</v>
      </c>
      <c r="Y44" s="42"/>
    </row>
    <row r="45" spans="6:27" x14ac:dyDescent="0.2">
      <c r="J45" s="12"/>
      <c r="K45" s="2"/>
      <c r="L45" s="1"/>
      <c r="N45" s="12"/>
      <c r="O45" s="2"/>
      <c r="P45" s="1"/>
    </row>
    <row r="46" spans="6:27" x14ac:dyDescent="0.2">
      <c r="J46" s="12"/>
      <c r="K46" s="2"/>
      <c r="L46" s="1"/>
      <c r="N46" s="12"/>
      <c r="O46" s="2"/>
      <c r="P46" s="1"/>
      <c r="Y46" s="42"/>
    </row>
    <row r="47" spans="6:27" x14ac:dyDescent="0.2">
      <c r="J47" s="12"/>
      <c r="K47" s="2"/>
      <c r="L47" s="1"/>
      <c r="N47" s="12"/>
      <c r="O47" s="2"/>
      <c r="P47" s="1"/>
    </row>
    <row r="49" spans="2:20" x14ac:dyDescent="0.2">
      <c r="F49" s="45" t="s">
        <v>8</v>
      </c>
      <c r="G49" s="45"/>
      <c r="H49" s="45"/>
      <c r="R49" s="45" t="s">
        <v>11</v>
      </c>
      <c r="S49" s="45"/>
      <c r="T49" s="45"/>
    </row>
    <row r="50" spans="2:20" x14ac:dyDescent="0.2">
      <c r="F50" t="s">
        <v>7</v>
      </c>
      <c r="G50" s="2" t="s">
        <v>4</v>
      </c>
      <c r="H50" s="1" t="s">
        <v>6</v>
      </c>
      <c r="R50" t="s">
        <v>7</v>
      </c>
      <c r="S50" s="2" t="s">
        <v>4</v>
      </c>
      <c r="T50" s="1" t="s">
        <v>6</v>
      </c>
    </row>
    <row r="51" spans="2:20" x14ac:dyDescent="0.2">
      <c r="F51" t="s">
        <v>5</v>
      </c>
      <c r="G51" s="2">
        <v>156375</v>
      </c>
      <c r="H51" s="1">
        <v>0</v>
      </c>
      <c r="R51" t="s">
        <v>5</v>
      </c>
      <c r="S51" s="2">
        <v>573375</v>
      </c>
      <c r="T51" s="1">
        <v>0</v>
      </c>
    </row>
    <row r="52" spans="2:20" x14ac:dyDescent="0.2">
      <c r="F52" t="s">
        <v>0</v>
      </c>
      <c r="G52" s="2">
        <f>(G51*H52)+G51</f>
        <v>164193.75</v>
      </c>
      <c r="H52" s="1">
        <v>0.05</v>
      </c>
      <c r="J52" s="45" t="s">
        <v>9</v>
      </c>
      <c r="K52" s="45"/>
      <c r="L52" s="45"/>
      <c r="N52" s="45" t="s">
        <v>10</v>
      </c>
      <c r="O52" s="45"/>
      <c r="P52" s="45"/>
      <c r="R52" t="s">
        <v>0</v>
      </c>
      <c r="S52" s="2">
        <f>(S51*T52)+S51</f>
        <v>602043.75</v>
      </c>
      <c r="T52" s="1">
        <v>0.05</v>
      </c>
    </row>
    <row r="53" spans="2:20" x14ac:dyDescent="0.2">
      <c r="F53" t="s">
        <v>1</v>
      </c>
      <c r="G53" s="2">
        <f t="shared" ref="G53:G56" si="13">(G52*H53)+G52</f>
        <v>172403.4375</v>
      </c>
      <c r="H53" s="1">
        <v>0.05</v>
      </c>
      <c r="J53" t="s">
        <v>7</v>
      </c>
      <c r="K53" s="2" t="s">
        <v>4</v>
      </c>
      <c r="L53" s="1" t="s">
        <v>6</v>
      </c>
      <c r="N53" t="s">
        <v>7</v>
      </c>
      <c r="O53" s="2" t="s">
        <v>4</v>
      </c>
      <c r="P53" s="1" t="s">
        <v>6</v>
      </c>
      <c r="R53" t="s">
        <v>1</v>
      </c>
      <c r="S53" s="2">
        <f t="shared" ref="S53:S59" si="14">(S52*T53)+S52</f>
        <v>632145.9375</v>
      </c>
      <c r="T53" s="1">
        <v>0.05</v>
      </c>
    </row>
    <row r="54" spans="2:20" x14ac:dyDescent="0.2">
      <c r="F54" t="s">
        <v>2</v>
      </c>
      <c r="G54" s="2">
        <f t="shared" si="13"/>
        <v>181023.609375</v>
      </c>
      <c r="H54" s="1">
        <v>0.05</v>
      </c>
      <c r="J54" t="s">
        <v>5</v>
      </c>
      <c r="K54" s="2">
        <v>52125</v>
      </c>
      <c r="L54" s="1">
        <v>0</v>
      </c>
      <c r="N54" t="s">
        <v>5</v>
      </c>
      <c r="O54" s="2">
        <v>57337.5</v>
      </c>
      <c r="P54" s="1">
        <v>0</v>
      </c>
      <c r="R54" t="s">
        <v>2</v>
      </c>
      <c r="S54" s="2">
        <f t="shared" si="14"/>
        <v>663753.234375</v>
      </c>
      <c r="T54" s="1">
        <v>0.05</v>
      </c>
    </row>
    <row r="55" spans="2:20" x14ac:dyDescent="0.2">
      <c r="F55" t="s">
        <v>3</v>
      </c>
      <c r="G55" s="2">
        <f t="shared" si="13"/>
        <v>190074.78984375001</v>
      </c>
      <c r="H55" s="1">
        <v>0.05</v>
      </c>
      <c r="J55" t="s">
        <v>0</v>
      </c>
      <c r="K55" s="2">
        <f>(K54*L55)+K54</f>
        <v>54731.25</v>
      </c>
      <c r="L55" s="1">
        <v>0.05</v>
      </c>
      <c r="N55" t="s">
        <v>0</v>
      </c>
      <c r="O55" s="2">
        <f>(O54*P55)+O54</f>
        <v>60204.375</v>
      </c>
      <c r="P55" s="1">
        <v>0.05</v>
      </c>
      <c r="R55" t="s">
        <v>3</v>
      </c>
      <c r="S55" s="2">
        <f t="shared" si="14"/>
        <v>683665.83140625001</v>
      </c>
      <c r="T55" s="1">
        <v>0.03</v>
      </c>
    </row>
    <row r="56" spans="2:20" x14ac:dyDescent="0.2">
      <c r="B56" s="45" t="s">
        <v>41</v>
      </c>
      <c r="C56" s="45"/>
      <c r="D56" s="45"/>
      <c r="F56" s="12" t="s">
        <v>26</v>
      </c>
      <c r="G56" s="2">
        <f t="shared" si="13"/>
        <v>199578.52933593752</v>
      </c>
      <c r="H56" s="1">
        <v>0.05</v>
      </c>
      <c r="J56" t="s">
        <v>1</v>
      </c>
      <c r="K56" s="2">
        <f t="shared" ref="K56:K62" si="15">(K55*L56)+K55</f>
        <v>57467.8125</v>
      </c>
      <c r="L56" s="1">
        <v>0.05</v>
      </c>
      <c r="N56" t="s">
        <v>1</v>
      </c>
      <c r="O56" s="2">
        <f t="shared" ref="O56:O62" si="16">(O55*P56)+O55</f>
        <v>63214.59375</v>
      </c>
      <c r="P56" s="1">
        <v>0.05</v>
      </c>
      <c r="R56" s="12" t="s">
        <v>26</v>
      </c>
      <c r="S56" s="2">
        <f t="shared" si="14"/>
        <v>704175.80634843756</v>
      </c>
      <c r="T56" s="1">
        <v>0.03</v>
      </c>
    </row>
    <row r="57" spans="2:20" x14ac:dyDescent="0.2">
      <c r="B57" t="s">
        <v>7</v>
      </c>
      <c r="C57" s="2" t="s">
        <v>4</v>
      </c>
      <c r="D57" s="1" t="s">
        <v>6</v>
      </c>
      <c r="F57" s="12" t="s">
        <v>27</v>
      </c>
      <c r="G57" s="2">
        <f>(G56*H57)+G56</f>
        <v>219536.38226953128</v>
      </c>
      <c r="H57" s="1">
        <v>0.1</v>
      </c>
      <c r="J57" t="s">
        <v>2</v>
      </c>
      <c r="K57" s="2">
        <f t="shared" si="15"/>
        <v>60341.203125</v>
      </c>
      <c r="L57" s="1">
        <v>0.05</v>
      </c>
      <c r="N57" t="s">
        <v>2</v>
      </c>
      <c r="O57" s="2">
        <f t="shared" si="16"/>
        <v>66375.323437500003</v>
      </c>
      <c r="P57" s="1">
        <v>0.05</v>
      </c>
      <c r="R57" s="12" t="s">
        <v>27</v>
      </c>
      <c r="S57" s="2">
        <f t="shared" si="14"/>
        <v>739384.59666585946</v>
      </c>
      <c r="T57" s="1">
        <v>0.05</v>
      </c>
    </row>
    <row r="58" spans="2:20" x14ac:dyDescent="0.2">
      <c r="B58" t="s">
        <v>5</v>
      </c>
      <c r="C58" s="2">
        <v>156375</v>
      </c>
      <c r="D58" s="1">
        <v>0</v>
      </c>
      <c r="F58" s="12" t="s">
        <v>28</v>
      </c>
      <c r="G58" s="2">
        <f t="shared" ref="G58:G59" si="17">(G57*H58)+G57</f>
        <v>241490.02049648442</v>
      </c>
      <c r="H58" s="1">
        <v>0.1</v>
      </c>
      <c r="J58" t="s">
        <v>3</v>
      </c>
      <c r="K58" s="2">
        <f t="shared" si="15"/>
        <v>62151.439218749998</v>
      </c>
      <c r="L58" s="1">
        <v>0.03</v>
      </c>
      <c r="N58" t="s">
        <v>3</v>
      </c>
      <c r="O58" s="2">
        <f t="shared" si="16"/>
        <v>68366.583140625007</v>
      </c>
      <c r="P58" s="1">
        <v>0.03</v>
      </c>
      <c r="R58" s="12" t="s">
        <v>28</v>
      </c>
      <c r="S58" s="2">
        <f t="shared" si="14"/>
        <v>776353.82649915246</v>
      </c>
      <c r="T58" s="1">
        <v>0.05</v>
      </c>
    </row>
    <row r="59" spans="2:20" x14ac:dyDescent="0.2">
      <c r="B59" t="s">
        <v>0</v>
      </c>
      <c r="C59" s="2">
        <f>(C58*D59)+C58</f>
        <v>164193.75</v>
      </c>
      <c r="D59" s="1">
        <v>0.05</v>
      </c>
      <c r="F59" s="12" t="s">
        <v>29</v>
      </c>
      <c r="G59" s="2">
        <f t="shared" si="17"/>
        <v>265639.02254613285</v>
      </c>
      <c r="H59" s="1">
        <v>0.1</v>
      </c>
      <c r="J59" s="12" t="s">
        <v>26</v>
      </c>
      <c r="K59" s="2">
        <f t="shared" si="15"/>
        <v>64015.982395312501</v>
      </c>
      <c r="L59" s="1">
        <v>0.03</v>
      </c>
      <c r="N59" s="12" t="s">
        <v>26</v>
      </c>
      <c r="O59" s="2">
        <f t="shared" si="16"/>
        <v>70417.580634843762</v>
      </c>
      <c r="P59" s="1">
        <v>0.03</v>
      </c>
      <c r="R59" s="12" t="s">
        <v>29</v>
      </c>
      <c r="S59" s="2">
        <f t="shared" si="14"/>
        <v>815171.51782411011</v>
      </c>
      <c r="T59" s="1">
        <v>0.05</v>
      </c>
    </row>
    <row r="60" spans="2:20" x14ac:dyDescent="0.2">
      <c r="B60" t="s">
        <v>1</v>
      </c>
      <c r="C60" s="2">
        <f t="shared" ref="C60:C71" si="18">(C59*D60)+C59</f>
        <v>172403.4375</v>
      </c>
      <c r="D60" s="1">
        <v>0.05</v>
      </c>
      <c r="F60" s="12" t="s">
        <v>37</v>
      </c>
      <c r="G60" s="2">
        <f>G59+Tabla315578[[#This Row],[Incremento]]</f>
        <v>265639.12254613283</v>
      </c>
      <c r="H60" s="1">
        <v>0.1</v>
      </c>
      <c r="J60" s="12" t="s">
        <v>27</v>
      </c>
      <c r="K60" s="2">
        <f t="shared" si="15"/>
        <v>67216.781515078124</v>
      </c>
      <c r="L60" s="1">
        <v>0.05</v>
      </c>
      <c r="N60" s="12" t="s">
        <v>27</v>
      </c>
      <c r="O60" s="2">
        <f t="shared" si="16"/>
        <v>73938.459666585957</v>
      </c>
      <c r="P60" s="1">
        <v>0.05</v>
      </c>
      <c r="R60" s="12" t="s">
        <v>37</v>
      </c>
      <c r="S60" s="2">
        <f>S59+Tabla315578[[#This Row],[Incremento]]</f>
        <v>815171.61782411009</v>
      </c>
      <c r="T60" s="1">
        <v>0.1</v>
      </c>
    </row>
    <row r="61" spans="2:20" x14ac:dyDescent="0.2">
      <c r="B61" t="s">
        <v>2</v>
      </c>
      <c r="C61" s="2">
        <f t="shared" si="18"/>
        <v>181023.609375</v>
      </c>
      <c r="D61" s="1">
        <v>0.05</v>
      </c>
      <c r="F61" s="12" t="s">
        <v>38</v>
      </c>
      <c r="G61" s="2">
        <f>G60+Tabla315578[[#This Row],[Incremento]]</f>
        <v>265639.22254613281</v>
      </c>
      <c r="H61" s="1">
        <v>0.1</v>
      </c>
      <c r="J61" s="12" t="s">
        <v>28</v>
      </c>
      <c r="K61" s="2">
        <f t="shared" si="15"/>
        <v>70577.620590832026</v>
      </c>
      <c r="L61" s="1">
        <v>0.05</v>
      </c>
      <c r="N61" s="12" t="s">
        <v>28</v>
      </c>
      <c r="O61" s="2">
        <f t="shared" si="16"/>
        <v>77635.382649915249</v>
      </c>
      <c r="P61" s="1">
        <v>0.05</v>
      </c>
      <c r="R61" s="12" t="s">
        <v>38</v>
      </c>
      <c r="S61" s="2">
        <f>S60+Tabla315578[[#This Row],[Incremento]]</f>
        <v>815171.71782411006</v>
      </c>
      <c r="T61" s="1">
        <v>0.1</v>
      </c>
    </row>
    <row r="62" spans="2:20" x14ac:dyDescent="0.2">
      <c r="B62" t="s">
        <v>3</v>
      </c>
      <c r="C62" s="2">
        <f t="shared" si="18"/>
        <v>190074.78984375001</v>
      </c>
      <c r="D62" s="1">
        <v>0.05</v>
      </c>
      <c r="F62" s="12" t="s">
        <v>39</v>
      </c>
      <c r="G62" s="2">
        <f>G61+Tabla315578[[#This Row],[Incremento]]</f>
        <v>265639.32254613278</v>
      </c>
      <c r="H62" s="1">
        <v>0.1</v>
      </c>
      <c r="J62" s="12" t="s">
        <v>29</v>
      </c>
      <c r="K62" s="2">
        <f t="shared" si="15"/>
        <v>74106.50162037363</v>
      </c>
      <c r="L62" s="1">
        <v>0.05</v>
      </c>
      <c r="N62" s="12" t="s">
        <v>29</v>
      </c>
      <c r="O62" s="2">
        <f t="shared" si="16"/>
        <v>81517.151782411005</v>
      </c>
      <c r="P62" s="1">
        <v>0.05</v>
      </c>
      <c r="R62" s="12" t="s">
        <v>39</v>
      </c>
      <c r="S62" s="2">
        <f>S61+Tabla315578[[#This Row],[Incremento]]</f>
        <v>815171.81782411004</v>
      </c>
      <c r="T62" s="1">
        <v>0.1</v>
      </c>
    </row>
    <row r="63" spans="2:20" x14ac:dyDescent="0.2">
      <c r="B63" s="12" t="s">
        <v>26</v>
      </c>
      <c r="C63" s="2">
        <f t="shared" si="18"/>
        <v>199578.52933593752</v>
      </c>
      <c r="D63" s="1">
        <v>0.05</v>
      </c>
      <c r="F63" s="12" t="s">
        <v>40</v>
      </c>
      <c r="G63" s="2">
        <f>G62+Tabla315578[[#This Row],[Incremento]]</f>
        <v>265639.42254613276</v>
      </c>
      <c r="H63" s="1">
        <v>0.1</v>
      </c>
      <c r="J63" s="12" t="s">
        <v>37</v>
      </c>
      <c r="K63" s="2">
        <f>K62+Tabla315578[[#This Row],[Incremento]]</f>
        <v>74106.601620373636</v>
      </c>
      <c r="L63" s="1">
        <v>0.1</v>
      </c>
      <c r="N63" s="12" t="s">
        <v>37</v>
      </c>
      <c r="O63" s="2">
        <f>O62+Tabla315578[[#This Row],[Incremento]]</f>
        <v>81517.251782411011</v>
      </c>
      <c r="P63" s="1">
        <v>0.1</v>
      </c>
      <c r="R63" s="12" t="s">
        <v>40</v>
      </c>
      <c r="S63" s="2">
        <f>S62+Tabla315578[[#This Row],[Incremento]]</f>
        <v>815171.91782411002</v>
      </c>
      <c r="T63" s="1">
        <v>0.1</v>
      </c>
    </row>
    <row r="64" spans="2:20" x14ac:dyDescent="0.2">
      <c r="B64" s="12" t="s">
        <v>27</v>
      </c>
      <c r="C64" s="2">
        <f t="shared" si="18"/>
        <v>219536.38226953128</v>
      </c>
      <c r="D64" s="1">
        <v>0.1</v>
      </c>
      <c r="F64" s="12" t="s">
        <v>48</v>
      </c>
      <c r="G64" s="2">
        <f>G63+Tabla315578[[#This Row],[Incremento]]</f>
        <v>265639.52254613274</v>
      </c>
      <c r="H64" s="1">
        <v>0.1</v>
      </c>
      <c r="J64" s="12" t="s">
        <v>38</v>
      </c>
      <c r="K64" s="2">
        <f>K63+Tabla315578[[#This Row],[Incremento]]</f>
        <v>74106.701620373642</v>
      </c>
      <c r="L64" s="1">
        <v>0.1</v>
      </c>
      <c r="N64" s="12" t="s">
        <v>38</v>
      </c>
      <c r="O64" s="2">
        <f>O63+Tabla315578[[#This Row],[Incremento]]</f>
        <v>81517.351782411017</v>
      </c>
      <c r="P64" s="1">
        <v>0.1</v>
      </c>
      <c r="R64" s="12" t="s">
        <v>48</v>
      </c>
      <c r="S64" s="2">
        <f>S63+Tabla315578[[#This Row],[Incremento]]</f>
        <v>815172.01782410999</v>
      </c>
      <c r="T64" s="1">
        <v>0.1</v>
      </c>
    </row>
    <row r="65" spans="2:20" x14ac:dyDescent="0.2">
      <c r="B65" s="12" t="s">
        <v>28</v>
      </c>
      <c r="C65" s="2">
        <f t="shared" si="18"/>
        <v>241490.02049648442</v>
      </c>
      <c r="D65" s="1">
        <v>0.1</v>
      </c>
      <c r="J65" s="12" t="s">
        <v>39</v>
      </c>
      <c r="K65" s="2" t="e">
        <f>K64+Tabla315578[[#This Row],[Incremento]]</f>
        <v>#VALUE!</v>
      </c>
      <c r="L65" s="1">
        <v>0.1</v>
      </c>
      <c r="N65" s="12" t="s">
        <v>39</v>
      </c>
      <c r="O65" s="2" t="e">
        <f>O64+Tabla315578[[#This Row],[Incremento]]</f>
        <v>#VALUE!</v>
      </c>
      <c r="P65" s="1">
        <v>0.1</v>
      </c>
    </row>
    <row r="66" spans="2:20" x14ac:dyDescent="0.2">
      <c r="B66" s="12" t="s">
        <v>29</v>
      </c>
      <c r="C66" s="2">
        <f t="shared" si="18"/>
        <v>265639.02254613285</v>
      </c>
      <c r="D66" s="1">
        <v>0.1</v>
      </c>
      <c r="F66" s="45" t="s">
        <v>12</v>
      </c>
      <c r="G66" s="45"/>
      <c r="H66" s="45"/>
      <c r="J66" s="12" t="s">
        <v>40</v>
      </c>
      <c r="K66" s="2" t="e">
        <f>K65+Tabla315578[[#This Row],[Incremento]]</f>
        <v>#VALUE!</v>
      </c>
      <c r="L66" s="1">
        <v>0.1</v>
      </c>
      <c r="N66" s="12" t="s">
        <v>40</v>
      </c>
      <c r="O66" s="2" t="e">
        <f>O65+Tabla315578[[#This Row],[Incremento]]</f>
        <v>#VALUE!</v>
      </c>
      <c r="P66" s="1">
        <v>0.1</v>
      </c>
      <c r="R66" s="45" t="s">
        <v>14</v>
      </c>
      <c r="S66" s="45"/>
      <c r="T66" s="45"/>
    </row>
    <row r="67" spans="2:20" x14ac:dyDescent="0.2">
      <c r="B67" s="12" t="s">
        <v>37</v>
      </c>
      <c r="C67" s="2">
        <f t="shared" si="18"/>
        <v>292202.92480074614</v>
      </c>
      <c r="D67" s="1">
        <v>0.1</v>
      </c>
      <c r="F67" s="6" t="s">
        <v>7</v>
      </c>
      <c r="G67" s="7" t="s">
        <v>4</v>
      </c>
      <c r="H67" s="8" t="s">
        <v>6</v>
      </c>
      <c r="J67" s="12" t="s">
        <v>48</v>
      </c>
      <c r="K67" s="2" t="e">
        <f>K66+Tabla315578[[#This Row],[Incremento]]</f>
        <v>#VALUE!</v>
      </c>
      <c r="L67" s="1">
        <v>0.1</v>
      </c>
      <c r="N67" s="12" t="s">
        <v>48</v>
      </c>
      <c r="O67" s="2" t="e">
        <f>O66+Tabla315578[[#This Row],[Incremento]]</f>
        <v>#VALUE!</v>
      </c>
      <c r="P67" s="1">
        <v>0.1</v>
      </c>
      <c r="R67" t="s">
        <v>7</v>
      </c>
      <c r="S67" s="2" t="s">
        <v>4</v>
      </c>
      <c r="T67" s="1" t="s">
        <v>6</v>
      </c>
    </row>
    <row r="68" spans="2:20" x14ac:dyDescent="0.2">
      <c r="B68" s="12" t="s">
        <v>38</v>
      </c>
      <c r="C68" s="2">
        <f t="shared" si="18"/>
        <v>321423.21728082077</v>
      </c>
      <c r="D68" s="1">
        <v>0.1</v>
      </c>
      <c r="F68" s="9" t="s">
        <v>5</v>
      </c>
      <c r="G68" s="19">
        <v>85000</v>
      </c>
      <c r="H68" s="11"/>
      <c r="R68" t="s">
        <v>5</v>
      </c>
      <c r="S68" s="19">
        <v>85000</v>
      </c>
      <c r="T68" s="1">
        <v>0</v>
      </c>
    </row>
    <row r="69" spans="2:20" x14ac:dyDescent="0.2">
      <c r="B69" s="12" t="s">
        <v>39</v>
      </c>
      <c r="C69" s="2">
        <f t="shared" si="18"/>
        <v>353565.53900890285</v>
      </c>
      <c r="D69" s="1">
        <v>0.1</v>
      </c>
      <c r="F69" s="16" t="s">
        <v>0</v>
      </c>
      <c r="G69" s="17">
        <f>(G68*H69)+G68</f>
        <v>85000</v>
      </c>
      <c r="H69" s="21">
        <v>0</v>
      </c>
      <c r="J69" s="45" t="s">
        <v>13</v>
      </c>
      <c r="K69" s="45"/>
      <c r="L69" s="45"/>
      <c r="N69" s="45" t="s">
        <v>15</v>
      </c>
      <c r="O69" s="45"/>
      <c r="P69" s="45"/>
      <c r="R69" t="s">
        <v>0</v>
      </c>
      <c r="S69" s="2">
        <f>(S68*T69)+S68</f>
        <v>89250</v>
      </c>
      <c r="T69" s="1">
        <v>0.05</v>
      </c>
    </row>
    <row r="70" spans="2:20" x14ac:dyDescent="0.2">
      <c r="B70" s="12" t="s">
        <v>40</v>
      </c>
      <c r="C70" s="2">
        <f t="shared" si="18"/>
        <v>388922.09290979314</v>
      </c>
      <c r="D70" s="1">
        <v>0.1</v>
      </c>
      <c r="F70" s="15" t="s">
        <v>1</v>
      </c>
      <c r="G70" s="19">
        <f t="shared" ref="G70:G81" si="19">(G69*H70)+G69</f>
        <v>85000</v>
      </c>
      <c r="H70" s="22">
        <v>0</v>
      </c>
      <c r="J70" t="s">
        <v>7</v>
      </c>
      <c r="K70" s="2" t="s">
        <v>4</v>
      </c>
      <c r="L70" s="1" t="s">
        <v>6</v>
      </c>
      <c r="N70" t="s">
        <v>7</v>
      </c>
      <c r="O70" s="2" t="s">
        <v>4</v>
      </c>
      <c r="P70" s="1" t="s">
        <v>6</v>
      </c>
      <c r="R70" t="s">
        <v>1</v>
      </c>
      <c r="S70" s="2">
        <f>(S69*T70)+S69</f>
        <v>93712.5</v>
      </c>
      <c r="T70" s="1">
        <v>0.05</v>
      </c>
    </row>
    <row r="71" spans="2:20" x14ac:dyDescent="0.2">
      <c r="B71" s="12" t="s">
        <v>48</v>
      </c>
      <c r="C71" s="2">
        <f t="shared" si="18"/>
        <v>427814.30220077245</v>
      </c>
      <c r="D71" s="1">
        <v>0.1</v>
      </c>
      <c r="F71" s="16" t="s">
        <v>2</v>
      </c>
      <c r="G71" s="17">
        <f t="shared" si="19"/>
        <v>85000</v>
      </c>
      <c r="H71" s="21">
        <v>0</v>
      </c>
      <c r="J71" t="s">
        <v>5</v>
      </c>
      <c r="K71" s="19">
        <v>166800</v>
      </c>
      <c r="L71" s="1"/>
      <c r="N71" t="s">
        <v>5</v>
      </c>
      <c r="O71" s="19">
        <v>187650</v>
      </c>
      <c r="P71" s="1"/>
      <c r="R71" t="s">
        <v>2</v>
      </c>
      <c r="S71" s="2">
        <f t="shared" ref="S71:S81" si="20">(S70*T71)+S70</f>
        <v>98398.125</v>
      </c>
      <c r="T71" s="1">
        <v>0.05</v>
      </c>
    </row>
    <row r="72" spans="2:20" x14ac:dyDescent="0.2">
      <c r="F72" s="15" t="s">
        <v>3</v>
      </c>
      <c r="G72" s="19">
        <f t="shared" si="19"/>
        <v>85000</v>
      </c>
      <c r="H72" s="22">
        <v>0</v>
      </c>
      <c r="J72" t="s">
        <v>0</v>
      </c>
      <c r="K72" s="2">
        <f>(K71*L72)+K71</f>
        <v>175140</v>
      </c>
      <c r="L72" s="1">
        <v>0.05</v>
      </c>
      <c r="N72" t="s">
        <v>0</v>
      </c>
      <c r="O72" s="2">
        <f>(O71*P72)+O71</f>
        <v>197032.5</v>
      </c>
      <c r="P72" s="1">
        <v>0.05</v>
      </c>
      <c r="R72" t="s">
        <v>3</v>
      </c>
      <c r="S72" s="2">
        <f t="shared" si="20"/>
        <v>103318.03125</v>
      </c>
      <c r="T72" s="1">
        <v>0.05</v>
      </c>
    </row>
    <row r="73" spans="2:20" x14ac:dyDescent="0.2">
      <c r="F73" s="23" t="s">
        <v>26</v>
      </c>
      <c r="G73" s="17">
        <f t="shared" si="19"/>
        <v>85000</v>
      </c>
      <c r="H73" s="21">
        <v>0</v>
      </c>
      <c r="J73" t="s">
        <v>1</v>
      </c>
      <c r="K73" s="2">
        <f t="shared" ref="K73:K84" si="21">(K72*L73)+K72</f>
        <v>183897</v>
      </c>
      <c r="L73" s="1">
        <v>0.05</v>
      </c>
      <c r="N73" t="s">
        <v>1</v>
      </c>
      <c r="O73" s="2">
        <f t="shared" ref="O73:O84" si="22">(O72*P73)+O72</f>
        <v>206884.125</v>
      </c>
      <c r="P73" s="1">
        <v>0.05</v>
      </c>
      <c r="R73" s="12" t="s">
        <v>26</v>
      </c>
      <c r="S73" s="2">
        <f t="shared" si="20"/>
        <v>113649.83437500001</v>
      </c>
      <c r="T73" s="1">
        <v>0.1</v>
      </c>
    </row>
    <row r="74" spans="2:20" x14ac:dyDescent="0.2">
      <c r="F74" s="24" t="s">
        <v>27</v>
      </c>
      <c r="G74" s="19">
        <f t="shared" si="19"/>
        <v>85000</v>
      </c>
      <c r="H74" s="22">
        <v>0</v>
      </c>
      <c r="J74" t="s">
        <v>2</v>
      </c>
      <c r="K74" s="2">
        <f t="shared" si="21"/>
        <v>193091.85</v>
      </c>
      <c r="L74" s="1">
        <v>0.05</v>
      </c>
      <c r="N74" t="s">
        <v>2</v>
      </c>
      <c r="O74" s="2">
        <f t="shared" si="22"/>
        <v>217228.33124999999</v>
      </c>
      <c r="P74" s="1">
        <v>0.05</v>
      </c>
      <c r="R74" s="12" t="s">
        <v>27</v>
      </c>
      <c r="S74" s="2">
        <f t="shared" si="20"/>
        <v>125014.81781250001</v>
      </c>
      <c r="T74" s="1">
        <v>0.1</v>
      </c>
    </row>
    <row r="75" spans="2:20" x14ac:dyDescent="0.2">
      <c r="F75" s="23" t="s">
        <v>28</v>
      </c>
      <c r="G75" s="17">
        <f t="shared" si="19"/>
        <v>85000</v>
      </c>
      <c r="H75" s="21">
        <v>0</v>
      </c>
      <c r="J75" t="s">
        <v>3</v>
      </c>
      <c r="K75" s="2">
        <f t="shared" si="21"/>
        <v>198884.60550000001</v>
      </c>
      <c r="L75" s="1">
        <v>0.03</v>
      </c>
      <c r="N75" t="s">
        <v>3</v>
      </c>
      <c r="O75" s="2">
        <f t="shared" si="22"/>
        <v>223745.18118749998</v>
      </c>
      <c r="P75" s="1">
        <v>0.03</v>
      </c>
      <c r="R75" s="12" t="s">
        <v>28</v>
      </c>
      <c r="S75" s="2">
        <f t="shared" si="20"/>
        <v>137516.29959375001</v>
      </c>
      <c r="T75" s="1">
        <v>0.1</v>
      </c>
    </row>
    <row r="76" spans="2:20" x14ac:dyDescent="0.2">
      <c r="F76" s="24" t="s">
        <v>29</v>
      </c>
      <c r="G76" s="19">
        <f t="shared" si="19"/>
        <v>85000</v>
      </c>
      <c r="H76" s="22">
        <v>0</v>
      </c>
      <c r="J76" s="12" t="s">
        <v>26</v>
      </c>
      <c r="K76" s="2">
        <f t="shared" si="21"/>
        <v>204851.14366500001</v>
      </c>
      <c r="L76" s="1">
        <v>0.03</v>
      </c>
      <c r="N76" s="12" t="s">
        <v>26</v>
      </c>
      <c r="O76" s="2">
        <f t="shared" si="22"/>
        <v>230457.53662312499</v>
      </c>
      <c r="P76" s="1">
        <v>0.03</v>
      </c>
      <c r="R76" s="12" t="s">
        <v>29</v>
      </c>
      <c r="S76" s="2">
        <f t="shared" si="20"/>
        <v>151267.929553125</v>
      </c>
      <c r="T76" s="1">
        <v>0.1</v>
      </c>
    </row>
    <row r="77" spans="2:20" x14ac:dyDescent="0.2">
      <c r="F77" s="23" t="s">
        <v>37</v>
      </c>
      <c r="G77" s="19">
        <f t="shared" si="19"/>
        <v>85000</v>
      </c>
      <c r="H77" s="22">
        <v>0</v>
      </c>
      <c r="J77" s="12" t="s">
        <v>27</v>
      </c>
      <c r="K77" s="2">
        <f t="shared" si="21"/>
        <v>215093.70084825001</v>
      </c>
      <c r="L77" s="1">
        <v>0.05</v>
      </c>
      <c r="N77" s="12" t="s">
        <v>27</v>
      </c>
      <c r="O77" s="2">
        <f t="shared" si="22"/>
        <v>241980.41345428125</v>
      </c>
      <c r="P77" s="1">
        <v>0.05</v>
      </c>
      <c r="R77" s="12" t="s">
        <v>37</v>
      </c>
      <c r="S77" s="2">
        <f t="shared" si="20"/>
        <v>166394.72250843749</v>
      </c>
      <c r="T77" s="1">
        <v>0.1</v>
      </c>
    </row>
    <row r="78" spans="2:20" x14ac:dyDescent="0.2">
      <c r="F78" s="24" t="s">
        <v>38</v>
      </c>
      <c r="G78" s="19">
        <f t="shared" si="19"/>
        <v>85000</v>
      </c>
      <c r="H78" s="22">
        <v>0</v>
      </c>
      <c r="J78" s="12" t="s">
        <v>28</v>
      </c>
      <c r="K78" s="2">
        <f t="shared" si="21"/>
        <v>225848.3858906625</v>
      </c>
      <c r="L78" s="1">
        <v>0.05</v>
      </c>
      <c r="N78" s="12" t="s">
        <v>28</v>
      </c>
      <c r="O78" s="2">
        <f t="shared" si="22"/>
        <v>254079.43412699533</v>
      </c>
      <c r="P78" s="1">
        <v>0.05</v>
      </c>
      <c r="R78" s="12" t="s">
        <v>38</v>
      </c>
      <c r="S78" s="2">
        <f t="shared" si="20"/>
        <v>183034.19475928124</v>
      </c>
      <c r="T78" s="1">
        <v>0.1</v>
      </c>
    </row>
    <row r="79" spans="2:20" x14ac:dyDescent="0.2">
      <c r="F79" s="23" t="s">
        <v>39</v>
      </c>
      <c r="G79" s="19">
        <f t="shared" si="19"/>
        <v>85000</v>
      </c>
      <c r="H79" s="22">
        <v>0</v>
      </c>
      <c r="J79" s="12" t="s">
        <v>29</v>
      </c>
      <c r="K79" s="2">
        <f t="shared" si="21"/>
        <v>237140.80518519561</v>
      </c>
      <c r="L79" s="1">
        <v>0.05</v>
      </c>
      <c r="N79" s="12" t="s">
        <v>29</v>
      </c>
      <c r="O79" s="2">
        <f t="shared" si="22"/>
        <v>266783.40583334508</v>
      </c>
      <c r="P79" s="1">
        <v>0.05</v>
      </c>
      <c r="R79" s="12" t="s">
        <v>39</v>
      </c>
      <c r="S79" s="2">
        <f t="shared" si="20"/>
        <v>201337.61423520936</v>
      </c>
      <c r="T79" s="1">
        <v>0.1</v>
      </c>
    </row>
    <row r="80" spans="2:20" x14ac:dyDescent="0.2">
      <c r="F80" s="24" t="s">
        <v>40</v>
      </c>
      <c r="G80" s="19">
        <f t="shared" si="19"/>
        <v>85000</v>
      </c>
      <c r="H80" s="22">
        <v>0</v>
      </c>
      <c r="J80" s="12" t="s">
        <v>37</v>
      </c>
      <c r="K80" s="2">
        <f t="shared" si="21"/>
        <v>474281.61037039122</v>
      </c>
      <c r="L80" s="1">
        <v>1</v>
      </c>
      <c r="N80" s="12" t="s">
        <v>37</v>
      </c>
      <c r="O80" s="2">
        <f t="shared" si="22"/>
        <v>293461.74641667958</v>
      </c>
      <c r="P80" s="1">
        <v>0.1</v>
      </c>
      <c r="R80" s="12" t="s">
        <v>40</v>
      </c>
      <c r="S80" s="2">
        <f t="shared" si="20"/>
        <v>221471.37565873031</v>
      </c>
      <c r="T80" s="1">
        <v>0.1</v>
      </c>
    </row>
    <row r="81" spans="6:20" x14ac:dyDescent="0.2">
      <c r="F81" s="23" t="s">
        <v>48</v>
      </c>
      <c r="G81" s="19">
        <f t="shared" si="19"/>
        <v>85000</v>
      </c>
      <c r="H81" s="22">
        <v>0</v>
      </c>
      <c r="J81" s="12" t="s">
        <v>38</v>
      </c>
      <c r="K81" s="2">
        <f t="shared" si="21"/>
        <v>521709.77140743035</v>
      </c>
      <c r="L81" s="1">
        <v>0.1</v>
      </c>
      <c r="N81" s="12" t="s">
        <v>38</v>
      </c>
      <c r="O81" s="2">
        <f t="shared" si="22"/>
        <v>322807.92105834757</v>
      </c>
      <c r="P81" s="1">
        <v>0.1</v>
      </c>
      <c r="R81" s="12" t="s">
        <v>48</v>
      </c>
      <c r="S81" s="2">
        <f t="shared" si="20"/>
        <v>243618.51322460335</v>
      </c>
      <c r="T81" s="1">
        <v>0.1</v>
      </c>
    </row>
    <row r="82" spans="6:20" x14ac:dyDescent="0.2">
      <c r="J82" s="12" t="s">
        <v>39</v>
      </c>
      <c r="K82" s="2">
        <f t="shared" si="21"/>
        <v>573880.74854817335</v>
      </c>
      <c r="L82" s="1">
        <v>0.1</v>
      </c>
      <c r="N82" s="12" t="s">
        <v>39</v>
      </c>
      <c r="O82" s="2">
        <f t="shared" si="22"/>
        <v>355088.71316418232</v>
      </c>
      <c r="P82" s="1">
        <v>0.1</v>
      </c>
    </row>
    <row r="83" spans="6:20" x14ac:dyDescent="0.2">
      <c r="J83" s="12" t="s">
        <v>40</v>
      </c>
      <c r="K83" s="2">
        <f t="shared" si="21"/>
        <v>631268.8234029907</v>
      </c>
      <c r="L83" s="1">
        <v>0.1</v>
      </c>
      <c r="N83" s="12" t="s">
        <v>40</v>
      </c>
      <c r="O83" s="2">
        <f t="shared" si="22"/>
        <v>390597.58448060055</v>
      </c>
      <c r="P83" s="1">
        <v>0.1</v>
      </c>
    </row>
    <row r="84" spans="6:20" x14ac:dyDescent="0.2">
      <c r="J84" s="12" t="s">
        <v>48</v>
      </c>
      <c r="K84" s="2">
        <f t="shared" si="21"/>
        <v>694395.70574328979</v>
      </c>
      <c r="L84" s="1">
        <v>0.1</v>
      </c>
      <c r="N84" s="12" t="s">
        <v>48</v>
      </c>
      <c r="O84" s="2">
        <f t="shared" si="22"/>
        <v>429657.34292866063</v>
      </c>
      <c r="P84" s="1">
        <v>0.1</v>
      </c>
    </row>
    <row r="88" spans="6:20" x14ac:dyDescent="0.2">
      <c r="H88" s="40">
        <v>3.6900000000000002E-2</v>
      </c>
    </row>
    <row r="90" spans="6:20" x14ac:dyDescent="0.2">
      <c r="F90" s="19">
        <v>156375</v>
      </c>
      <c r="G90" s="2">
        <v>156375</v>
      </c>
      <c r="H90" s="2">
        <v>52125</v>
      </c>
      <c r="I90" s="2">
        <v>57337.5</v>
      </c>
    </row>
    <row r="91" spans="6:20" x14ac:dyDescent="0.2">
      <c r="G91" s="19">
        <v>85000</v>
      </c>
      <c r="H91" s="19">
        <v>166800</v>
      </c>
      <c r="I91" s="19">
        <v>187650</v>
      </c>
    </row>
    <row r="93" spans="6:20" x14ac:dyDescent="0.2">
      <c r="J93" s="2">
        <v>573375</v>
      </c>
    </row>
    <row r="94" spans="6:20" x14ac:dyDescent="0.2">
      <c r="F94" s="25">
        <f>(F90)+(F90*$H$88)</f>
        <v>162145.23749999999</v>
      </c>
      <c r="G94" s="25">
        <f t="shared" ref="G94:J98" si="23">(G90)+(G90*$H$88)</f>
        <v>162145.23749999999</v>
      </c>
      <c r="H94" s="25">
        <f t="shared" si="23"/>
        <v>54048.412499999999</v>
      </c>
      <c r="I94" s="25">
        <f t="shared" si="23"/>
        <v>59453.253750000003</v>
      </c>
      <c r="J94" s="19">
        <v>85000</v>
      </c>
    </row>
    <row r="95" spans="6:20" x14ac:dyDescent="0.2">
      <c r="G95" s="25">
        <f t="shared" si="23"/>
        <v>88136.5</v>
      </c>
      <c r="H95" s="25">
        <f t="shared" si="23"/>
        <v>172954.92</v>
      </c>
      <c r="I95" s="25">
        <f t="shared" si="23"/>
        <v>194574.285</v>
      </c>
    </row>
    <row r="97" spans="10:10" x14ac:dyDescent="0.2">
      <c r="J97" s="25">
        <f t="shared" si="23"/>
        <v>594532.53749999998</v>
      </c>
    </row>
    <row r="98" spans="10:10" x14ac:dyDescent="0.2">
      <c r="J98" s="25">
        <f t="shared" si="23"/>
        <v>88136.5</v>
      </c>
    </row>
  </sheetData>
  <mergeCells count="16">
    <mergeCell ref="B2:T2"/>
    <mergeCell ref="A3:T3"/>
    <mergeCell ref="B12:D12"/>
    <mergeCell ref="F5:H5"/>
    <mergeCell ref="J5:L5"/>
    <mergeCell ref="N5:P5"/>
    <mergeCell ref="R5:T5"/>
    <mergeCell ref="R49:T49"/>
    <mergeCell ref="B56:D56"/>
    <mergeCell ref="F66:H66"/>
    <mergeCell ref="J69:L69"/>
    <mergeCell ref="N69:P69"/>
    <mergeCell ref="R66:T66"/>
    <mergeCell ref="F49:H49"/>
    <mergeCell ref="J52:L52"/>
    <mergeCell ref="N52:P52"/>
  </mergeCells>
  <phoneticPr fontId="5" type="noConversion"/>
  <pageMargins left="0.7" right="0.7" top="0.75" bottom="0.75" header="0.3" footer="0.3"/>
  <pageSetup orientation="portrait" horizontalDpi="0" verticalDpi="0"/>
  <tableParts count="16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10E91-B450-444A-BC64-581DD670F746}">
  <sheetPr>
    <tabColor rgb="FF0070C0"/>
  </sheetPr>
  <dimension ref="B2:AK230"/>
  <sheetViews>
    <sheetView workbookViewId="0">
      <selection activeCell="P13" sqref="P13"/>
    </sheetView>
  </sheetViews>
  <sheetFormatPr baseColWidth="10" defaultRowHeight="16" x14ac:dyDescent="0.2"/>
  <cols>
    <col min="2" max="2" width="20.6640625" bestFit="1" customWidth="1"/>
    <col min="3" max="3" width="13.6640625" bestFit="1" customWidth="1"/>
    <col min="4" max="4" width="14.6640625" bestFit="1" customWidth="1"/>
    <col min="5" max="5" width="17.6640625" customWidth="1"/>
    <col min="6" max="9" width="17.83203125" customWidth="1"/>
    <col min="10" max="10" width="17.83203125" style="12" customWidth="1"/>
    <col min="11" max="35" width="17.83203125" customWidth="1"/>
    <col min="36" max="36" width="13.6640625" customWidth="1"/>
    <col min="37" max="37" width="13.1640625" customWidth="1"/>
  </cols>
  <sheetData>
    <row r="2" spans="2:36" ht="29" customHeight="1" x14ac:dyDescent="0.75">
      <c r="B2" s="45" t="s">
        <v>41</v>
      </c>
      <c r="C2" s="45"/>
      <c r="D2" s="45"/>
      <c r="F2" s="48"/>
      <c r="G2" s="48"/>
      <c r="H2" s="48"/>
      <c r="I2" s="46" t="s">
        <v>36</v>
      </c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</row>
    <row r="3" spans="2:36" ht="29" x14ac:dyDescent="0.35">
      <c r="B3" t="s">
        <v>7</v>
      </c>
      <c r="C3" s="2" t="s">
        <v>4</v>
      </c>
      <c r="D3" s="1" t="s">
        <v>6</v>
      </c>
      <c r="I3" s="47">
        <v>3.6900000000000002E-2</v>
      </c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</row>
    <row r="4" spans="2:36" x14ac:dyDescent="0.2">
      <c r="B4" t="s">
        <v>5</v>
      </c>
      <c r="C4" s="2">
        <f>(120000*0.15)+120000</f>
        <v>138000</v>
      </c>
      <c r="D4" s="1">
        <v>0</v>
      </c>
      <c r="F4" s="45" t="s">
        <v>23</v>
      </c>
      <c r="G4" s="45"/>
      <c r="H4" s="45"/>
      <c r="J4" s="45" t="s">
        <v>8</v>
      </c>
      <c r="K4" s="45"/>
      <c r="L4" s="45"/>
      <c r="N4" s="45" t="s">
        <v>24</v>
      </c>
      <c r="O4" s="45"/>
      <c r="P4" s="45"/>
      <c r="R4" s="45" t="s">
        <v>9</v>
      </c>
      <c r="S4" s="45"/>
      <c r="T4" s="45"/>
      <c r="V4" s="45" t="s">
        <v>30</v>
      </c>
      <c r="W4" s="45"/>
      <c r="X4" s="45"/>
      <c r="Z4" s="45" t="s">
        <v>32</v>
      </c>
      <c r="AA4" s="45"/>
      <c r="AB4" s="45"/>
      <c r="AD4" s="45" t="s">
        <v>44</v>
      </c>
      <c r="AE4" s="45"/>
      <c r="AF4" s="45"/>
      <c r="AH4" s="45" t="s">
        <v>33</v>
      </c>
      <c r="AI4" s="45"/>
      <c r="AJ4" s="45"/>
    </row>
    <row r="5" spans="2:36" x14ac:dyDescent="0.2">
      <c r="B5" t="s">
        <v>0</v>
      </c>
      <c r="C5" s="2">
        <f>(C4*Tabla3242[[#This Row],[Incremento]])+C4</f>
        <v>144900</v>
      </c>
      <c r="D5" s="1">
        <v>0.05</v>
      </c>
      <c r="F5" t="s">
        <v>25</v>
      </c>
      <c r="G5" s="2" t="s">
        <v>4</v>
      </c>
      <c r="H5" s="1" t="s">
        <v>6</v>
      </c>
      <c r="J5" s="12" t="s">
        <v>25</v>
      </c>
      <c r="K5" s="2" t="s">
        <v>4</v>
      </c>
      <c r="L5" s="1" t="s">
        <v>6</v>
      </c>
      <c r="M5" s="1"/>
      <c r="N5" t="s">
        <v>25</v>
      </c>
      <c r="O5" s="2" t="s">
        <v>4</v>
      </c>
      <c r="P5" s="1" t="s">
        <v>6</v>
      </c>
      <c r="R5" t="s">
        <v>25</v>
      </c>
      <c r="S5" s="2" t="s">
        <v>4</v>
      </c>
      <c r="T5" s="1" t="s">
        <v>6</v>
      </c>
      <c r="V5" t="s">
        <v>25</v>
      </c>
      <c r="W5" s="2" t="s">
        <v>4</v>
      </c>
      <c r="X5" s="1" t="s">
        <v>6</v>
      </c>
      <c r="Z5" t="s">
        <v>25</v>
      </c>
      <c r="AA5" s="2" t="s">
        <v>4</v>
      </c>
      <c r="AB5" s="1" t="s">
        <v>6</v>
      </c>
      <c r="AC5" s="1"/>
      <c r="AD5" s="5" t="s">
        <v>25</v>
      </c>
      <c r="AE5" s="2" t="s">
        <v>4</v>
      </c>
      <c r="AF5" s="1" t="s">
        <v>6</v>
      </c>
      <c r="AG5" s="1"/>
      <c r="AH5" t="s">
        <v>25</v>
      </c>
      <c r="AI5" s="2" t="s">
        <v>4</v>
      </c>
      <c r="AJ5" s="1" t="s">
        <v>6</v>
      </c>
    </row>
    <row r="6" spans="2:36" x14ac:dyDescent="0.2">
      <c r="B6" t="s">
        <v>1</v>
      </c>
      <c r="C6" s="2">
        <f>(C5*Tabla3242[[#This Row],[Incremento]])+C5</f>
        <v>152145</v>
      </c>
      <c r="D6" s="1">
        <v>0.05</v>
      </c>
      <c r="F6" t="s">
        <v>16</v>
      </c>
      <c r="G6" s="2">
        <f>(150000*H6)+180000</f>
        <v>180000</v>
      </c>
      <c r="H6" s="1">
        <v>0</v>
      </c>
      <c r="J6" s="12" t="s">
        <v>16</v>
      </c>
      <c r="K6" s="2" t="s">
        <v>21</v>
      </c>
      <c r="L6" s="1">
        <v>0</v>
      </c>
      <c r="M6" s="1"/>
      <c r="N6" s="12" t="s">
        <v>16</v>
      </c>
      <c r="O6" s="2" t="s">
        <v>21</v>
      </c>
      <c r="P6" s="1">
        <v>0</v>
      </c>
      <c r="R6" t="s">
        <v>16</v>
      </c>
      <c r="S6" s="2">
        <f>(70000*$I$3)+70000</f>
        <v>72583</v>
      </c>
      <c r="T6" s="1">
        <v>0</v>
      </c>
      <c r="V6" t="s">
        <v>16</v>
      </c>
      <c r="W6" s="2">
        <v>78789.98</v>
      </c>
      <c r="X6" s="1">
        <v>0</v>
      </c>
      <c r="Z6" t="s">
        <v>16</v>
      </c>
      <c r="AA6" s="2">
        <f>(500234*$I$3)+500234</f>
        <v>518692.63459999999</v>
      </c>
      <c r="AB6" s="1">
        <v>0</v>
      </c>
      <c r="AC6" s="1"/>
      <c r="AD6" t="s">
        <v>16</v>
      </c>
      <c r="AE6" s="2">
        <v>50000</v>
      </c>
      <c r="AF6" s="1"/>
      <c r="AG6" s="1"/>
      <c r="AH6" t="s">
        <v>16</v>
      </c>
      <c r="AI6" s="2">
        <f>(200000*$I$3)+200000</f>
        <v>207380</v>
      </c>
      <c r="AJ6" s="1">
        <v>0</v>
      </c>
    </row>
    <row r="7" spans="2:36" x14ac:dyDescent="0.2">
      <c r="B7" t="s">
        <v>2</v>
      </c>
      <c r="C7" s="2">
        <f>(C6*Tabla3242[[#This Row],[Incremento]])+C6</f>
        <v>159752.25</v>
      </c>
      <c r="D7" s="1">
        <v>0.05</v>
      </c>
      <c r="F7" t="s">
        <v>17</v>
      </c>
      <c r="G7" s="2">
        <f>(G6*H7)+G6</f>
        <v>189000</v>
      </c>
      <c r="H7" s="1">
        <v>0.05</v>
      </c>
      <c r="J7" s="12" t="s">
        <v>17</v>
      </c>
      <c r="K7" s="2" t="s">
        <v>21</v>
      </c>
      <c r="L7" s="1">
        <v>0</v>
      </c>
      <c r="M7" s="1"/>
      <c r="N7" s="12" t="s">
        <v>17</v>
      </c>
      <c r="O7" s="2" t="s">
        <v>21</v>
      </c>
      <c r="P7" s="1">
        <v>0</v>
      </c>
      <c r="R7" t="s">
        <v>17</v>
      </c>
      <c r="S7" s="2">
        <f t="shared" ref="S7:S18" si="0">(S6*T7)+S6</f>
        <v>79841.3</v>
      </c>
      <c r="T7" s="1">
        <v>0.1</v>
      </c>
      <c r="V7" t="s">
        <v>17</v>
      </c>
      <c r="W7" s="2">
        <f t="shared" ref="W7:W18" si="1">(W6*X7)+W6</f>
        <v>86668.978000000003</v>
      </c>
      <c r="X7" s="1">
        <v>0.1</v>
      </c>
      <c r="Z7" t="s">
        <v>17</v>
      </c>
      <c r="AA7" s="2">
        <f t="shared" ref="AA7:AA18" si="2">(AA6*AB7)+AA6</f>
        <v>521286.09777300002</v>
      </c>
      <c r="AB7" s="1">
        <v>5.0000000000000001E-3</v>
      </c>
      <c r="AC7" s="1"/>
      <c r="AD7" t="s">
        <v>17</v>
      </c>
      <c r="AE7" s="2">
        <f t="shared" ref="AE7:AE18" si="3">(AE6*AF7)+AE6</f>
        <v>52500</v>
      </c>
      <c r="AF7" s="4">
        <v>0.05</v>
      </c>
      <c r="AG7" s="1"/>
      <c r="AH7" t="s">
        <v>17</v>
      </c>
      <c r="AI7" s="2">
        <f t="shared" ref="AI7:AI18" si="4">(AI6*AJ7)+AI6</f>
        <v>208416.9</v>
      </c>
      <c r="AJ7" s="1">
        <v>5.0000000000000001E-3</v>
      </c>
    </row>
    <row r="8" spans="2:36" x14ac:dyDescent="0.2">
      <c r="B8" t="s">
        <v>3</v>
      </c>
      <c r="C8" s="2">
        <f>(C7*Tabla3242[[#This Row],[Incremento]])+C7</f>
        <v>167739.86249999999</v>
      </c>
      <c r="D8" s="1">
        <v>0.05</v>
      </c>
      <c r="F8" t="s">
        <v>18</v>
      </c>
      <c r="G8" s="2">
        <f t="shared" ref="G8:G10" si="5">(G7*H8)+G7</f>
        <v>198450</v>
      </c>
      <c r="H8" s="1">
        <v>0.05</v>
      </c>
      <c r="J8" s="12" t="s">
        <v>18</v>
      </c>
      <c r="K8" s="2" t="s">
        <v>21</v>
      </c>
      <c r="L8" s="1">
        <v>0</v>
      </c>
      <c r="M8" s="1"/>
      <c r="N8" s="12" t="s">
        <v>18</v>
      </c>
      <c r="O8" s="2" t="s">
        <v>21</v>
      </c>
      <c r="P8" s="1">
        <v>0</v>
      </c>
      <c r="R8" t="s">
        <v>18</v>
      </c>
      <c r="S8" s="2">
        <f t="shared" si="0"/>
        <v>87825.430000000008</v>
      </c>
      <c r="T8" s="1">
        <v>0.1</v>
      </c>
      <c r="V8" t="s">
        <v>18</v>
      </c>
      <c r="W8" s="2">
        <f t="shared" si="1"/>
        <v>95335.875800000009</v>
      </c>
      <c r="X8" s="1">
        <v>0.1</v>
      </c>
      <c r="Z8" t="s">
        <v>18</v>
      </c>
      <c r="AA8" s="2">
        <f t="shared" si="2"/>
        <v>536924.68070619006</v>
      </c>
      <c r="AB8" s="1">
        <v>0.03</v>
      </c>
      <c r="AC8" s="1"/>
      <c r="AD8" t="s">
        <v>18</v>
      </c>
      <c r="AE8" s="2">
        <f t="shared" si="3"/>
        <v>55650</v>
      </c>
      <c r="AF8" s="4">
        <v>0.06</v>
      </c>
      <c r="AG8" s="1"/>
      <c r="AH8" t="s">
        <v>18</v>
      </c>
      <c r="AI8" s="2">
        <f t="shared" si="4"/>
        <v>210501.06899999999</v>
      </c>
      <c r="AJ8" s="1">
        <v>0.01</v>
      </c>
    </row>
    <row r="9" spans="2:36" x14ac:dyDescent="0.2">
      <c r="B9" s="12" t="s">
        <v>26</v>
      </c>
      <c r="C9" s="2">
        <f>(C8*Tabla3242[[#This Row],[Incremento]])+C8</f>
        <v>176126.855625</v>
      </c>
      <c r="D9" s="1">
        <v>0.05</v>
      </c>
      <c r="F9" t="s">
        <v>19</v>
      </c>
      <c r="G9" s="2">
        <f t="shared" si="5"/>
        <v>208372.5</v>
      </c>
      <c r="H9" s="1">
        <v>0.05</v>
      </c>
      <c r="J9" s="12" t="s">
        <v>19</v>
      </c>
      <c r="K9" s="2" t="s">
        <v>21</v>
      </c>
      <c r="L9" s="1">
        <v>0</v>
      </c>
      <c r="M9" s="1"/>
      <c r="N9" s="12" t="s">
        <v>19</v>
      </c>
      <c r="O9" s="2" t="s">
        <v>21</v>
      </c>
      <c r="P9" s="1">
        <v>0</v>
      </c>
      <c r="R9" t="s">
        <v>19</v>
      </c>
      <c r="S9" s="2">
        <f t="shared" si="0"/>
        <v>96607.973000000013</v>
      </c>
      <c r="T9" s="1">
        <v>0.1</v>
      </c>
      <c r="V9" t="s">
        <v>19</v>
      </c>
      <c r="W9" s="2">
        <f t="shared" si="1"/>
        <v>104869.46338000002</v>
      </c>
      <c r="X9" s="1">
        <v>0.1</v>
      </c>
      <c r="Z9" t="s">
        <v>19</v>
      </c>
      <c r="AA9" s="2">
        <f t="shared" si="2"/>
        <v>553032.4211273758</v>
      </c>
      <c r="AB9" s="1">
        <v>0.03</v>
      </c>
      <c r="AC9" s="1"/>
      <c r="AD9" t="s">
        <v>19</v>
      </c>
      <c r="AE9" s="2">
        <f t="shared" si="3"/>
        <v>58989</v>
      </c>
      <c r="AF9" s="4">
        <v>0.06</v>
      </c>
      <c r="AG9" s="1"/>
      <c r="AH9" t="s">
        <v>19</v>
      </c>
      <c r="AI9" s="2">
        <f t="shared" si="4"/>
        <v>212606.07968999998</v>
      </c>
      <c r="AJ9" s="1">
        <v>0.01</v>
      </c>
    </row>
    <row r="10" spans="2:36" x14ac:dyDescent="0.2">
      <c r="B10" s="12" t="s">
        <v>27</v>
      </c>
      <c r="C10" s="2">
        <f>(C9*Tabla3242[[#This Row],[Incremento]])+C9</f>
        <v>184933.19840624998</v>
      </c>
      <c r="D10" s="1">
        <v>0.05</v>
      </c>
      <c r="F10" t="s">
        <v>20</v>
      </c>
      <c r="G10" s="2">
        <f t="shared" si="5"/>
        <v>218791.125</v>
      </c>
      <c r="H10" s="1">
        <v>0.05</v>
      </c>
      <c r="J10" s="12" t="s">
        <v>20</v>
      </c>
      <c r="K10" s="2" t="s">
        <v>21</v>
      </c>
      <c r="L10" s="1">
        <v>0</v>
      </c>
      <c r="M10" s="1"/>
      <c r="N10" s="12" t="s">
        <v>20</v>
      </c>
      <c r="O10" s="2" t="s">
        <v>21</v>
      </c>
      <c r="P10" s="1">
        <v>0</v>
      </c>
      <c r="R10" t="s">
        <v>20</v>
      </c>
      <c r="S10" s="2">
        <f t="shared" si="0"/>
        <v>106268.77030000002</v>
      </c>
      <c r="T10" s="1">
        <v>0.1</v>
      </c>
      <c r="V10" t="s">
        <v>20</v>
      </c>
      <c r="W10" s="2">
        <f t="shared" si="1"/>
        <v>115356.40971800001</v>
      </c>
      <c r="X10" s="1">
        <v>0.1</v>
      </c>
      <c r="Z10" t="s">
        <v>20</v>
      </c>
      <c r="AA10" s="2">
        <f t="shared" si="2"/>
        <v>569623.39376119711</v>
      </c>
      <c r="AB10" s="1">
        <v>0.03</v>
      </c>
      <c r="AC10" s="1"/>
      <c r="AD10" t="s">
        <v>20</v>
      </c>
      <c r="AE10" s="2">
        <f t="shared" si="3"/>
        <v>63708.12</v>
      </c>
      <c r="AF10" s="4">
        <v>0.08</v>
      </c>
      <c r="AG10" s="1"/>
      <c r="AH10" t="s">
        <v>20</v>
      </c>
      <c r="AI10" s="2">
        <f t="shared" si="4"/>
        <v>214732.1404869</v>
      </c>
      <c r="AJ10" s="1">
        <v>0.01</v>
      </c>
    </row>
    <row r="11" spans="2:36" x14ac:dyDescent="0.2">
      <c r="B11" s="12" t="s">
        <v>28</v>
      </c>
      <c r="C11" s="2">
        <f>(C10*Tabla3242[[#This Row],[Incremento]])+C10</f>
        <v>194179.85832656248</v>
      </c>
      <c r="D11" s="1">
        <v>0.05</v>
      </c>
      <c r="G11" s="2"/>
      <c r="H11" s="1"/>
      <c r="J11" s="12" t="s">
        <v>26</v>
      </c>
      <c r="K11" s="2">
        <f>G10*1.08</f>
        <v>236294.41500000001</v>
      </c>
      <c r="L11" s="1"/>
      <c r="M11" s="1"/>
      <c r="N11" s="12" t="s">
        <v>26</v>
      </c>
      <c r="O11" s="2">
        <f>G10*1.05</f>
        <v>229730.68125000002</v>
      </c>
      <c r="P11" s="1"/>
      <c r="R11" s="12" t="s">
        <v>26</v>
      </c>
      <c r="S11" s="2">
        <f t="shared" si="0"/>
        <v>116895.64733000002</v>
      </c>
      <c r="T11" s="1">
        <v>0.1</v>
      </c>
      <c r="V11" s="12" t="s">
        <v>26</v>
      </c>
      <c r="W11" s="2">
        <f t="shared" si="1"/>
        <v>126892.05068980002</v>
      </c>
      <c r="X11" s="1">
        <v>0.1</v>
      </c>
      <c r="Z11" s="12" t="s">
        <v>26</v>
      </c>
      <c r="AA11" s="2">
        <f t="shared" si="2"/>
        <v>655066.90282537672</v>
      </c>
      <c r="AB11" s="1">
        <v>0.15</v>
      </c>
      <c r="AC11" s="1"/>
      <c r="AD11" s="12" t="s">
        <v>26</v>
      </c>
      <c r="AE11" s="2">
        <f t="shared" si="3"/>
        <v>68804.7696</v>
      </c>
      <c r="AF11" s="1">
        <v>0.08</v>
      </c>
      <c r="AG11" s="1"/>
      <c r="AH11" s="12" t="s">
        <v>26</v>
      </c>
      <c r="AI11" s="2">
        <f t="shared" si="4"/>
        <v>231910.71172585199</v>
      </c>
      <c r="AJ11" s="1">
        <v>0.08</v>
      </c>
    </row>
    <row r="12" spans="2:36" x14ac:dyDescent="0.2">
      <c r="B12" s="12" t="s">
        <v>29</v>
      </c>
      <c r="C12" s="2">
        <f>(C11*Tabla3242[[#This Row],[Incremento]])+C11</f>
        <v>203888.85124289061</v>
      </c>
      <c r="D12" s="1">
        <v>0.05</v>
      </c>
      <c r="G12" s="2"/>
      <c r="H12" s="1"/>
      <c r="J12" s="12" t="s">
        <v>27</v>
      </c>
      <c r="K12" s="2">
        <f t="shared" ref="K12:K18" si="6">(K11*L12)+K11</f>
        <v>259923.85649999999</v>
      </c>
      <c r="L12" s="1">
        <v>0.1</v>
      </c>
      <c r="M12" s="1"/>
      <c r="N12" s="12" t="s">
        <v>27</v>
      </c>
      <c r="O12" s="2">
        <f t="shared" ref="O12:O18" si="7">(O11*P12)+O11</f>
        <v>252703.74937500001</v>
      </c>
      <c r="P12" s="1">
        <v>0.1</v>
      </c>
      <c r="R12" s="12" t="s">
        <v>27</v>
      </c>
      <c r="S12" s="2">
        <f t="shared" si="0"/>
        <v>128585.21206300003</v>
      </c>
      <c r="T12" s="1">
        <v>0.1</v>
      </c>
      <c r="V12" s="12" t="s">
        <v>27</v>
      </c>
      <c r="W12" s="2">
        <f t="shared" si="1"/>
        <v>139581.25575878003</v>
      </c>
      <c r="X12" s="1">
        <v>0.1</v>
      </c>
      <c r="Z12" s="12" t="s">
        <v>27</v>
      </c>
      <c r="AA12" s="2">
        <f t="shared" si="2"/>
        <v>753326.93824918324</v>
      </c>
      <c r="AB12" s="1">
        <v>0.15</v>
      </c>
      <c r="AC12" s="1"/>
      <c r="AD12" s="12" t="s">
        <v>27</v>
      </c>
      <c r="AE12" s="2">
        <f t="shared" si="3"/>
        <v>74309.151167999997</v>
      </c>
      <c r="AF12" s="1">
        <v>0.08</v>
      </c>
      <c r="AG12" s="1"/>
      <c r="AH12" s="12" t="s">
        <v>27</v>
      </c>
      <c r="AI12" s="2">
        <f t="shared" si="4"/>
        <v>250463.56866392016</v>
      </c>
      <c r="AJ12" s="1">
        <v>0.08</v>
      </c>
    </row>
    <row r="13" spans="2:36" x14ac:dyDescent="0.2">
      <c r="B13" s="12" t="s">
        <v>37</v>
      </c>
      <c r="C13" s="2">
        <f>(C12*Tabla3242[[#This Row],[Incremento]])+C12</f>
        <v>214083.29380503515</v>
      </c>
      <c r="D13" s="1">
        <v>0.05</v>
      </c>
      <c r="G13" s="2"/>
      <c r="H13" s="1"/>
      <c r="J13" s="12" t="s">
        <v>28</v>
      </c>
      <c r="K13" s="2">
        <f t="shared" si="6"/>
        <v>285916.24215000001</v>
      </c>
      <c r="L13" s="1">
        <v>0.1</v>
      </c>
      <c r="M13" s="1"/>
      <c r="N13" s="12" t="s">
        <v>28</v>
      </c>
      <c r="O13" s="2">
        <f t="shared" si="7"/>
        <v>277974.1243125</v>
      </c>
      <c r="P13" s="1">
        <v>0.1</v>
      </c>
      <c r="R13" s="12" t="s">
        <v>28</v>
      </c>
      <c r="S13" s="2">
        <f t="shared" si="0"/>
        <v>141443.73326930002</v>
      </c>
      <c r="T13" s="1">
        <v>0.1</v>
      </c>
      <c r="V13" s="12" t="s">
        <v>28</v>
      </c>
      <c r="W13" s="2">
        <f t="shared" si="1"/>
        <v>153539.38133465801</v>
      </c>
      <c r="X13" s="1">
        <v>0.1</v>
      </c>
      <c r="Z13" s="12" t="s">
        <v>28</v>
      </c>
      <c r="AA13" s="2">
        <f t="shared" si="2"/>
        <v>866325.97898656072</v>
      </c>
      <c r="AB13" s="1">
        <v>0.15</v>
      </c>
      <c r="AC13" s="1"/>
      <c r="AD13" s="12" t="s">
        <v>28</v>
      </c>
      <c r="AE13" s="2">
        <f t="shared" si="3"/>
        <v>80253.883261440002</v>
      </c>
      <c r="AF13" s="1">
        <v>0.08</v>
      </c>
      <c r="AG13" s="1"/>
      <c r="AH13" s="12" t="s">
        <v>28</v>
      </c>
      <c r="AI13" s="2">
        <f t="shared" si="4"/>
        <v>270500.65415703377</v>
      </c>
      <c r="AJ13" s="1">
        <v>0.08</v>
      </c>
    </row>
    <row r="14" spans="2:36" x14ac:dyDescent="0.2">
      <c r="B14" s="12" t="s">
        <v>38</v>
      </c>
      <c r="C14" s="2">
        <f>(C13*Tabla3242[[#This Row],[Incremento]])+C13</f>
        <v>224787.4584952869</v>
      </c>
      <c r="D14" s="1">
        <v>0.05</v>
      </c>
      <c r="G14" s="2"/>
      <c r="H14" s="2"/>
      <c r="J14" s="12" t="s">
        <v>29</v>
      </c>
      <c r="K14" s="2">
        <f t="shared" si="6"/>
        <v>314507.86636500002</v>
      </c>
      <c r="L14" s="1">
        <v>0.1</v>
      </c>
      <c r="M14" s="41"/>
      <c r="N14" s="12" t="s">
        <v>29</v>
      </c>
      <c r="O14" s="2">
        <f t="shared" si="7"/>
        <v>305771.53674374998</v>
      </c>
      <c r="P14" s="1">
        <v>0.1</v>
      </c>
      <c r="R14" s="12" t="s">
        <v>29</v>
      </c>
      <c r="S14" s="2">
        <f t="shared" si="0"/>
        <v>155588.10659623003</v>
      </c>
      <c r="T14" s="1">
        <v>0.1</v>
      </c>
      <c r="V14" s="12" t="s">
        <v>29</v>
      </c>
      <c r="W14" s="2">
        <f t="shared" si="1"/>
        <v>168893.31946812381</v>
      </c>
      <c r="X14" s="1">
        <v>0.1</v>
      </c>
      <c r="Z14" s="12" t="s">
        <v>29</v>
      </c>
      <c r="AA14" s="2">
        <f t="shared" si="2"/>
        <v>996274.87583454477</v>
      </c>
      <c r="AB14" s="1">
        <v>0.15</v>
      </c>
      <c r="AC14" s="1"/>
      <c r="AD14" s="12" t="s">
        <v>29</v>
      </c>
      <c r="AE14" s="2">
        <f t="shared" si="3"/>
        <v>86674.193922355204</v>
      </c>
      <c r="AF14" s="1">
        <v>0.08</v>
      </c>
      <c r="AG14" s="1"/>
      <c r="AH14" s="12" t="s">
        <v>29</v>
      </c>
      <c r="AI14" s="2">
        <f t="shared" si="4"/>
        <v>292140.70648959646</v>
      </c>
      <c r="AJ14" s="1">
        <v>0.08</v>
      </c>
    </row>
    <row r="15" spans="2:36" ht="17" customHeight="1" x14ac:dyDescent="0.2">
      <c r="B15" s="12" t="s">
        <v>39</v>
      </c>
      <c r="C15" s="2">
        <f>(C14*Tabla3242[[#This Row],[Incremento]])+C14</f>
        <v>236026.83142005125</v>
      </c>
      <c r="D15" s="1">
        <v>0.05</v>
      </c>
      <c r="G15" s="2"/>
      <c r="J15" s="12" t="s">
        <v>37</v>
      </c>
      <c r="K15" s="2">
        <f t="shared" si="6"/>
        <v>345958.6530015</v>
      </c>
      <c r="L15" s="1">
        <v>0.1</v>
      </c>
      <c r="M15" s="1"/>
      <c r="N15" s="12" t="s">
        <v>37</v>
      </c>
      <c r="O15" s="2">
        <f t="shared" si="7"/>
        <v>336348.69041812496</v>
      </c>
      <c r="P15" s="1">
        <v>0.1</v>
      </c>
      <c r="R15" s="12" t="s">
        <v>37</v>
      </c>
      <c r="S15" s="2">
        <f t="shared" si="0"/>
        <v>171146.91725585304</v>
      </c>
      <c r="T15" s="1">
        <v>0.1</v>
      </c>
      <c r="V15" s="12" t="s">
        <v>37</v>
      </c>
      <c r="W15" s="2">
        <f t="shared" si="1"/>
        <v>185782.65141493618</v>
      </c>
      <c r="X15" s="1">
        <v>0.1</v>
      </c>
      <c r="Z15" s="12" t="s">
        <v>37</v>
      </c>
      <c r="AA15" s="2">
        <f t="shared" si="2"/>
        <v>1095902.3634179994</v>
      </c>
      <c r="AB15" s="1">
        <v>0.1</v>
      </c>
      <c r="AC15" s="2"/>
      <c r="AD15" s="12" t="s">
        <v>37</v>
      </c>
      <c r="AE15" s="2">
        <f t="shared" si="3"/>
        <v>95341.613314590722</v>
      </c>
      <c r="AF15" s="1">
        <v>0.1</v>
      </c>
      <c r="AG15" s="2"/>
      <c r="AH15" s="12" t="s">
        <v>37</v>
      </c>
      <c r="AI15" s="2">
        <f t="shared" si="4"/>
        <v>321354.77713855612</v>
      </c>
      <c r="AJ15" s="1">
        <v>0.1</v>
      </c>
    </row>
    <row r="16" spans="2:36" ht="17" customHeight="1" x14ac:dyDescent="0.2">
      <c r="B16" s="12" t="s">
        <v>40</v>
      </c>
      <c r="C16" s="2">
        <f>(C15*Tabla3242[[#This Row],[Incremento]])+C15</f>
        <v>247828.17299105381</v>
      </c>
      <c r="D16" s="1">
        <v>0.05</v>
      </c>
      <c r="G16" s="2"/>
      <c r="J16" s="12" t="s">
        <v>38</v>
      </c>
      <c r="K16" s="2">
        <f t="shared" si="6"/>
        <v>380554.51830165001</v>
      </c>
      <c r="L16" s="1">
        <v>0.1</v>
      </c>
      <c r="M16" s="1"/>
      <c r="N16" s="12" t="s">
        <v>38</v>
      </c>
      <c r="O16" s="2">
        <f t="shared" si="7"/>
        <v>369983.55945993745</v>
      </c>
      <c r="P16" s="1">
        <v>0.1</v>
      </c>
      <c r="R16" s="12" t="s">
        <v>38</v>
      </c>
      <c r="S16" s="2">
        <f t="shared" si="0"/>
        <v>188261.60898143833</v>
      </c>
      <c r="T16" s="1">
        <v>0.1</v>
      </c>
      <c r="V16" s="12" t="s">
        <v>38</v>
      </c>
      <c r="W16" s="2">
        <f t="shared" si="1"/>
        <v>204360.91655642979</v>
      </c>
      <c r="X16" s="1">
        <v>0.1</v>
      </c>
      <c r="Z16" s="12" t="s">
        <v>38</v>
      </c>
      <c r="AA16" s="2">
        <f t="shared" si="2"/>
        <v>1205492.5997597992</v>
      </c>
      <c r="AB16" s="1">
        <v>0.1</v>
      </c>
      <c r="AC16" s="2"/>
      <c r="AD16" s="12" t="s">
        <v>38</v>
      </c>
      <c r="AE16" s="2">
        <f t="shared" si="3"/>
        <v>104875.7746460498</v>
      </c>
      <c r="AF16" s="1">
        <v>0.1</v>
      </c>
      <c r="AG16" s="2"/>
      <c r="AH16" s="12" t="s">
        <v>38</v>
      </c>
      <c r="AI16" s="2">
        <f t="shared" si="4"/>
        <v>353490.25485241174</v>
      </c>
      <c r="AJ16" s="1">
        <v>0.1</v>
      </c>
    </row>
    <row r="17" spans="2:37" ht="17" customHeight="1" x14ac:dyDescent="0.2">
      <c r="B17" s="12" t="s">
        <v>49</v>
      </c>
      <c r="C17" s="2">
        <f>(C16*Tabla3242[[#This Row],[Incremento]])+C16</f>
        <v>260219.58164060651</v>
      </c>
      <c r="D17" s="1">
        <v>0.05</v>
      </c>
      <c r="G17" s="2"/>
      <c r="J17" s="12" t="s">
        <v>39</v>
      </c>
      <c r="K17" s="2">
        <f t="shared" si="6"/>
        <v>418609.970131815</v>
      </c>
      <c r="L17" s="1">
        <v>0.1</v>
      </c>
      <c r="M17" s="1"/>
      <c r="N17" s="12" t="s">
        <v>39</v>
      </c>
      <c r="O17" s="2">
        <f t="shared" si="7"/>
        <v>406981.91540593118</v>
      </c>
      <c r="P17" s="1">
        <v>0.1</v>
      </c>
      <c r="R17" s="12" t="s">
        <v>39</v>
      </c>
      <c r="S17" s="2">
        <f t="shared" si="0"/>
        <v>207087.76987958216</v>
      </c>
      <c r="T17" s="1">
        <v>0.1</v>
      </c>
      <c r="V17" s="12" t="s">
        <v>39</v>
      </c>
      <c r="W17" s="2">
        <f t="shared" si="1"/>
        <v>224797.00821207277</v>
      </c>
      <c r="X17" s="1">
        <v>0.1</v>
      </c>
      <c r="Z17" s="12" t="s">
        <v>39</v>
      </c>
      <c r="AA17" s="2">
        <f t="shared" si="2"/>
        <v>1326041.859735779</v>
      </c>
      <c r="AB17" s="1">
        <v>0.1</v>
      </c>
      <c r="AC17" s="2"/>
      <c r="AD17" s="12" t="s">
        <v>39</v>
      </c>
      <c r="AE17" s="2">
        <f t="shared" si="3"/>
        <v>115363.35211065479</v>
      </c>
      <c r="AF17" s="1">
        <v>0.1</v>
      </c>
      <c r="AG17" s="2"/>
      <c r="AH17" s="12" t="s">
        <v>39</v>
      </c>
      <c r="AI17" s="2">
        <f t="shared" si="4"/>
        <v>388839.28033765289</v>
      </c>
      <c r="AJ17" s="1">
        <v>0.1</v>
      </c>
    </row>
    <row r="18" spans="2:37" ht="17" customHeight="1" x14ac:dyDescent="0.2">
      <c r="B18" s="12" t="s">
        <v>50</v>
      </c>
      <c r="C18" s="2">
        <f>(C17*Tabla3242[[#This Row],[Incremento]])+C17</f>
        <v>273230.56072263682</v>
      </c>
      <c r="D18" s="1">
        <v>0.05</v>
      </c>
      <c r="G18" s="2"/>
      <c r="J18" s="12" t="s">
        <v>40</v>
      </c>
      <c r="K18" s="2">
        <f t="shared" si="6"/>
        <v>460470.96714499651</v>
      </c>
      <c r="L18" s="1">
        <v>0.1</v>
      </c>
      <c r="M18" s="1"/>
      <c r="N18" s="12" t="s">
        <v>40</v>
      </c>
      <c r="O18" s="2">
        <f t="shared" si="7"/>
        <v>447680.10694652429</v>
      </c>
      <c r="P18" s="1">
        <v>0.1</v>
      </c>
      <c r="R18" s="12" t="s">
        <v>40</v>
      </c>
      <c r="S18" s="2">
        <f t="shared" si="0"/>
        <v>227796.5468675404</v>
      </c>
      <c r="T18" s="1">
        <v>0.1</v>
      </c>
      <c r="V18" s="12" t="s">
        <v>40</v>
      </c>
      <c r="W18" s="2">
        <f t="shared" si="1"/>
        <v>247276.70903328006</v>
      </c>
      <c r="X18" s="1">
        <v>0.1</v>
      </c>
      <c r="Z18" s="12" t="s">
        <v>40</v>
      </c>
      <c r="AA18" s="2">
        <f t="shared" si="2"/>
        <v>1458646.0457093569</v>
      </c>
      <c r="AB18" s="1">
        <v>0.1</v>
      </c>
      <c r="AC18" s="2"/>
      <c r="AD18" s="12" t="s">
        <v>40</v>
      </c>
      <c r="AE18" s="2">
        <f t="shared" si="3"/>
        <v>126899.68732172027</v>
      </c>
      <c r="AF18" s="1">
        <v>0.1</v>
      </c>
      <c r="AG18" s="2"/>
      <c r="AH18" s="12" t="s">
        <v>40</v>
      </c>
      <c r="AI18" s="2">
        <f t="shared" si="4"/>
        <v>427723.20837141818</v>
      </c>
      <c r="AJ18" s="1">
        <v>0.1</v>
      </c>
    </row>
    <row r="19" spans="2:37" ht="17" customHeight="1" x14ac:dyDescent="0.2">
      <c r="B19" s="12" t="s">
        <v>51</v>
      </c>
      <c r="C19" s="2">
        <f>(C18*Tabla3242[[#This Row],[Incremento]])+C18</f>
        <v>286892.08875876863</v>
      </c>
      <c r="D19" s="1">
        <v>0.05</v>
      </c>
      <c r="G19" s="2"/>
      <c r="K19" s="2"/>
      <c r="L19" s="2"/>
      <c r="M19" s="12"/>
      <c r="N19" s="2"/>
      <c r="O19" s="2"/>
      <c r="P19" s="12"/>
      <c r="Q19" s="2"/>
      <c r="R19" s="2"/>
      <c r="S19" s="12"/>
      <c r="T19" s="2"/>
      <c r="U19" s="2"/>
      <c r="V19" s="12"/>
      <c r="W19" s="2"/>
      <c r="X19" s="2"/>
      <c r="Y19" s="12"/>
      <c r="Z19" s="2"/>
      <c r="AA19" s="2"/>
      <c r="AB19" s="12"/>
      <c r="AC19" s="2"/>
      <c r="AD19" s="2"/>
      <c r="AE19" s="2"/>
      <c r="AF19" s="12"/>
      <c r="AG19" s="2"/>
      <c r="AH19" s="12"/>
      <c r="AI19" s="2"/>
      <c r="AJ19" s="2"/>
      <c r="AK19" s="12"/>
    </row>
    <row r="20" spans="2:37" ht="17" customHeight="1" x14ac:dyDescent="0.2">
      <c r="B20" s="12" t="s">
        <v>52</v>
      </c>
      <c r="C20" s="2">
        <f>(C19*Tabla3242[[#This Row],[Incremento]])+C19</f>
        <v>301236.69319670706</v>
      </c>
      <c r="D20" s="1">
        <v>0.05</v>
      </c>
      <c r="G20" s="2"/>
      <c r="K20" s="2"/>
      <c r="L20" s="2"/>
      <c r="M20" s="12"/>
      <c r="N20" s="2"/>
      <c r="O20" s="2"/>
      <c r="P20" s="12"/>
      <c r="Q20" s="2"/>
      <c r="U20" s="2"/>
      <c r="AK20" s="12"/>
    </row>
    <row r="21" spans="2:37" ht="17" customHeight="1" x14ac:dyDescent="0.2">
      <c r="B21" s="45" t="s">
        <v>47</v>
      </c>
      <c r="C21" s="45"/>
      <c r="D21" s="45"/>
      <c r="F21" s="45" t="s">
        <v>12</v>
      </c>
      <c r="G21" s="45"/>
      <c r="J21" s="45" t="s">
        <v>13</v>
      </c>
      <c r="K21" s="45"/>
      <c r="L21" s="45"/>
      <c r="N21" s="45" t="s">
        <v>15</v>
      </c>
      <c r="O21" s="45"/>
      <c r="P21" s="45"/>
      <c r="R21" s="45" t="s">
        <v>42</v>
      </c>
      <c r="S21" s="45"/>
      <c r="T21" s="45"/>
      <c r="V21" s="45" t="s">
        <v>43</v>
      </c>
      <c r="W21" s="45"/>
      <c r="X21" s="45"/>
      <c r="Z21" s="45" t="s">
        <v>45</v>
      </c>
      <c r="AA21" s="45"/>
      <c r="AB21" s="45"/>
      <c r="AD21" s="45" t="s">
        <v>46</v>
      </c>
      <c r="AE21" s="45"/>
      <c r="AF21" s="45"/>
      <c r="AH21" s="45" t="s">
        <v>14</v>
      </c>
      <c r="AI21" s="45"/>
      <c r="AJ21" s="45"/>
    </row>
    <row r="22" spans="2:37" ht="17" customHeight="1" x14ac:dyDescent="0.2">
      <c r="B22" s="12" t="s">
        <v>25</v>
      </c>
      <c r="C22" s="2" t="s">
        <v>4</v>
      </c>
      <c r="D22" s="1" t="s">
        <v>6</v>
      </c>
      <c r="F22" s="5" t="s">
        <v>25</v>
      </c>
      <c r="G22" s="2" t="s">
        <v>4</v>
      </c>
      <c r="J22" s="5" t="s">
        <v>25</v>
      </c>
      <c r="K22" s="2" t="s">
        <v>4</v>
      </c>
      <c r="L22" s="1" t="s">
        <v>6</v>
      </c>
      <c r="N22" s="5" t="s">
        <v>25</v>
      </c>
      <c r="O22" s="2" t="s">
        <v>4</v>
      </c>
      <c r="P22" s="1" t="s">
        <v>6</v>
      </c>
      <c r="R22" s="5" t="s">
        <v>25</v>
      </c>
      <c r="S22" s="2" t="s">
        <v>4</v>
      </c>
      <c r="T22" s="1" t="s">
        <v>6</v>
      </c>
      <c r="V22" s="5" t="s">
        <v>25</v>
      </c>
      <c r="W22" s="2" t="s">
        <v>4</v>
      </c>
      <c r="X22" s="1" t="s">
        <v>6</v>
      </c>
      <c r="Z22" s="5" t="s">
        <v>25</v>
      </c>
      <c r="AA22" s="2" t="s">
        <v>4</v>
      </c>
      <c r="AB22" s="1" t="s">
        <v>6</v>
      </c>
      <c r="AD22" s="5" t="s">
        <v>25</v>
      </c>
      <c r="AE22" s="2" t="s">
        <v>4</v>
      </c>
      <c r="AF22" s="1" t="s">
        <v>6</v>
      </c>
      <c r="AH22" s="5" t="s">
        <v>25</v>
      </c>
      <c r="AI22" s="2" t="s">
        <v>4</v>
      </c>
      <c r="AJ22" s="1" t="s">
        <v>6</v>
      </c>
    </row>
    <row r="23" spans="2:37" ht="17" customHeight="1" x14ac:dyDescent="0.2">
      <c r="B23" s="12" t="s">
        <v>16</v>
      </c>
      <c r="C23" s="2">
        <v>190000</v>
      </c>
      <c r="D23" s="1"/>
      <c r="F23" t="s">
        <v>16</v>
      </c>
      <c r="G23" s="2">
        <v>85000</v>
      </c>
      <c r="J23" t="s">
        <v>16</v>
      </c>
      <c r="K23" s="2">
        <f>(280000*$I$3)+280000</f>
        <v>290332</v>
      </c>
      <c r="L23" s="1">
        <v>0</v>
      </c>
      <c r="N23" t="s">
        <v>16</v>
      </c>
      <c r="O23" s="2">
        <f>(190000*$I$3)+190000</f>
        <v>197011</v>
      </c>
      <c r="P23" s="1">
        <v>0</v>
      </c>
      <c r="R23" t="s">
        <v>16</v>
      </c>
      <c r="S23" s="2">
        <f>Tabla37891011254216[[#This Row],[Precio]]*1.5</f>
        <v>435498</v>
      </c>
      <c r="T23" s="1"/>
      <c r="V23" t="s">
        <v>16</v>
      </c>
      <c r="W23" s="2">
        <f>Tabla3789101112264317[[#This Row],[Precio]]*1.5</f>
        <v>295516.5</v>
      </c>
      <c r="X23" s="1"/>
      <c r="Z23" t="s">
        <v>16</v>
      </c>
      <c r="AA23" s="2">
        <v>190000</v>
      </c>
      <c r="AB23" s="1"/>
      <c r="AD23" t="s">
        <v>16</v>
      </c>
      <c r="AE23" s="2">
        <f>(1000000*$I$3)+1000000</f>
        <v>1036900</v>
      </c>
      <c r="AF23" s="1"/>
      <c r="AH23" t="s">
        <v>16</v>
      </c>
      <c r="AI23" s="2">
        <f>(100000*$I$3)+100000</f>
        <v>103690</v>
      </c>
      <c r="AJ23" s="1">
        <v>0</v>
      </c>
    </row>
    <row r="24" spans="2:37" ht="17" customHeight="1" x14ac:dyDescent="0.2">
      <c r="B24" s="12" t="s">
        <v>17</v>
      </c>
      <c r="C24" s="2">
        <f t="shared" ref="C24:C35" si="8">(C23*D24)+C23</f>
        <v>200070</v>
      </c>
      <c r="D24" s="4">
        <v>5.2999999999999999E-2</v>
      </c>
      <c r="F24" t="s">
        <v>17</v>
      </c>
      <c r="G24" s="2">
        <f t="shared" ref="G24:G35" si="9">(G23*H24)+G23</f>
        <v>85000</v>
      </c>
      <c r="J24" t="s">
        <v>17</v>
      </c>
      <c r="K24" s="2">
        <f t="shared" ref="K24:K35" si="10">(K23*L24)+K23</f>
        <v>291783.65999999997</v>
      </c>
      <c r="L24" s="1">
        <v>5.0000000000000001E-3</v>
      </c>
      <c r="N24" t="s">
        <v>17</v>
      </c>
      <c r="O24" s="2">
        <f t="shared" ref="O24:O35" si="11">(O23*P24)+O23</f>
        <v>197996.05499999999</v>
      </c>
      <c r="P24" s="1">
        <v>5.0000000000000001E-3</v>
      </c>
      <c r="R24" t="s">
        <v>17</v>
      </c>
      <c r="S24" s="2">
        <f>Tabla37891011254216[[#This Row],[Precio]]*1.5</f>
        <v>437675.49</v>
      </c>
      <c r="T24" s="4">
        <v>0.03</v>
      </c>
      <c r="V24" t="s">
        <v>17</v>
      </c>
      <c r="W24" s="2">
        <f>Tabla3789101112264317[[#This Row],[Precio]]*1.5</f>
        <v>296994.08250000002</v>
      </c>
      <c r="X24" s="4">
        <v>0.03</v>
      </c>
      <c r="Z24" t="s">
        <v>17</v>
      </c>
      <c r="AA24" s="2">
        <f t="shared" ref="AA24:AA35" si="12">(AA23*AB24)+AA23</f>
        <v>199500</v>
      </c>
      <c r="AB24" s="4">
        <v>0.05</v>
      </c>
      <c r="AD24" t="s">
        <v>17</v>
      </c>
      <c r="AE24" s="2">
        <f t="shared" ref="AE24:AE35" si="13">(AE23*AF24)+AE23</f>
        <v>1088745</v>
      </c>
      <c r="AF24" s="4">
        <v>0.05</v>
      </c>
      <c r="AH24" t="s">
        <v>17</v>
      </c>
      <c r="AI24" s="2">
        <f t="shared" ref="AI24:AI35" si="14">(AI23*AJ24)+AI23</f>
        <v>108874.5</v>
      </c>
      <c r="AJ24" s="1">
        <v>0.05</v>
      </c>
    </row>
    <row r="25" spans="2:37" ht="17" customHeight="1" x14ac:dyDescent="0.2">
      <c r="B25" s="12" t="s">
        <v>18</v>
      </c>
      <c r="C25" s="2">
        <f t="shared" si="8"/>
        <v>212474.34</v>
      </c>
      <c r="D25" s="4">
        <v>6.2E-2</v>
      </c>
      <c r="F25" t="s">
        <v>18</v>
      </c>
      <c r="G25" s="2">
        <f t="shared" si="9"/>
        <v>85000</v>
      </c>
      <c r="J25" t="s">
        <v>18</v>
      </c>
      <c r="K25" s="2">
        <f t="shared" si="10"/>
        <v>294701.49659999995</v>
      </c>
      <c r="L25" s="1">
        <v>0.01</v>
      </c>
      <c r="N25" t="s">
        <v>18</v>
      </c>
      <c r="O25" s="2">
        <f t="shared" si="11"/>
        <v>199976.01554999998</v>
      </c>
      <c r="P25" s="1">
        <v>0.01</v>
      </c>
      <c r="R25" t="s">
        <v>18</v>
      </c>
      <c r="S25" s="2">
        <f>Tabla37891011254216[[#This Row],[Precio]]*1.5</f>
        <v>442052.24489999993</v>
      </c>
      <c r="T25" s="4">
        <v>0.03</v>
      </c>
      <c r="V25" t="s">
        <v>18</v>
      </c>
      <c r="W25" s="2">
        <f>Tabla3789101112264317[[#This Row],[Precio]]*1.5</f>
        <v>299964.02332499996</v>
      </c>
      <c r="X25" s="4">
        <v>0.03</v>
      </c>
      <c r="Z25" t="s">
        <v>18</v>
      </c>
      <c r="AA25" s="2">
        <f t="shared" si="12"/>
        <v>211470</v>
      </c>
      <c r="AB25" s="4">
        <v>0.06</v>
      </c>
      <c r="AD25" t="s">
        <v>18</v>
      </c>
      <c r="AE25" s="2">
        <f t="shared" si="13"/>
        <v>1154069.7</v>
      </c>
      <c r="AF25" s="4">
        <v>0.06</v>
      </c>
      <c r="AH25" t="s">
        <v>18</v>
      </c>
      <c r="AI25" s="2">
        <f t="shared" si="14"/>
        <v>114318.22500000001</v>
      </c>
      <c r="AJ25" s="1">
        <v>0.05</v>
      </c>
    </row>
    <row r="26" spans="2:37" ht="17" customHeight="1" x14ac:dyDescent="0.2">
      <c r="B26" s="12" t="s">
        <v>19</v>
      </c>
      <c r="C26" s="2">
        <f t="shared" si="8"/>
        <v>225222.80040000001</v>
      </c>
      <c r="D26" s="4">
        <v>0.06</v>
      </c>
      <c r="F26" t="s">
        <v>19</v>
      </c>
      <c r="G26" s="2">
        <f t="shared" si="9"/>
        <v>85000</v>
      </c>
      <c r="J26" t="s">
        <v>19</v>
      </c>
      <c r="K26" s="2">
        <f t="shared" si="10"/>
        <v>297648.51156599994</v>
      </c>
      <c r="L26" s="1">
        <v>0.01</v>
      </c>
      <c r="N26" t="s">
        <v>19</v>
      </c>
      <c r="O26" s="2">
        <f t="shared" si="11"/>
        <v>201975.77570549998</v>
      </c>
      <c r="P26" s="1">
        <v>0.01</v>
      </c>
      <c r="R26" t="s">
        <v>19</v>
      </c>
      <c r="S26" s="2">
        <f>Tabla37891011254216[[#This Row],[Precio]]*1.5</f>
        <v>446472.76734899991</v>
      </c>
      <c r="T26" s="4">
        <v>0.03</v>
      </c>
      <c r="U26" s="4"/>
      <c r="V26" t="s">
        <v>19</v>
      </c>
      <c r="W26" s="2">
        <f>Tabla3789101112264317[[#This Row],[Precio]]*1.5</f>
        <v>302963.66355824994</v>
      </c>
      <c r="X26" s="4">
        <v>0.03</v>
      </c>
      <c r="Z26" t="s">
        <v>19</v>
      </c>
      <c r="AA26" s="2">
        <f t="shared" si="12"/>
        <v>224158.2</v>
      </c>
      <c r="AB26" s="4">
        <v>0.06</v>
      </c>
      <c r="AD26" t="s">
        <v>19</v>
      </c>
      <c r="AE26" s="2">
        <f t="shared" si="13"/>
        <v>1223313.882</v>
      </c>
      <c r="AF26" s="4">
        <v>0.06</v>
      </c>
      <c r="AH26" t="s">
        <v>19</v>
      </c>
      <c r="AI26" s="2">
        <f t="shared" si="14"/>
        <v>120034.13625000001</v>
      </c>
      <c r="AJ26" s="1">
        <v>0.05</v>
      </c>
    </row>
    <row r="27" spans="2:37" ht="17" customHeight="1" x14ac:dyDescent="0.2">
      <c r="B27" s="12" t="s">
        <v>20</v>
      </c>
      <c r="C27" s="2">
        <f t="shared" si="8"/>
        <v>243240.62443200001</v>
      </c>
      <c r="D27" s="4">
        <v>0.08</v>
      </c>
      <c r="F27" t="s">
        <v>20</v>
      </c>
      <c r="G27" s="2">
        <f t="shared" si="9"/>
        <v>85000</v>
      </c>
      <c r="J27" t="s">
        <v>20</v>
      </c>
      <c r="K27" s="2">
        <f t="shared" si="10"/>
        <v>300624.99668165995</v>
      </c>
      <c r="L27" s="1">
        <v>0.01</v>
      </c>
      <c r="N27" t="s">
        <v>20</v>
      </c>
      <c r="O27" s="2">
        <f t="shared" si="11"/>
        <v>203995.53346255497</v>
      </c>
      <c r="P27" s="1">
        <v>0.01</v>
      </c>
      <c r="R27" t="s">
        <v>20</v>
      </c>
      <c r="S27" s="2">
        <f>Tabla37891011254216[[#This Row],[Precio]]*1.5</f>
        <v>450937.49502248992</v>
      </c>
      <c r="T27" s="4">
        <v>0.03</v>
      </c>
      <c r="U27" s="4"/>
      <c r="V27" t="s">
        <v>20</v>
      </c>
      <c r="W27" s="2">
        <f>Tabla3789101112264317[[#This Row],[Precio]]*1.5</f>
        <v>305993.30019383249</v>
      </c>
      <c r="X27" s="4">
        <v>0.03</v>
      </c>
      <c r="Z27" t="s">
        <v>20</v>
      </c>
      <c r="AA27" s="2">
        <f t="shared" si="12"/>
        <v>242090.85600000003</v>
      </c>
      <c r="AB27" s="4">
        <v>0.08</v>
      </c>
      <c r="AD27" t="s">
        <v>20</v>
      </c>
      <c r="AE27" s="2">
        <f t="shared" si="13"/>
        <v>1321178.9925599999</v>
      </c>
      <c r="AF27" s="4">
        <v>0.08</v>
      </c>
      <c r="AH27" t="s">
        <v>20</v>
      </c>
      <c r="AI27" s="2">
        <f t="shared" si="14"/>
        <v>126035.8430625</v>
      </c>
      <c r="AJ27" s="1">
        <v>0.05</v>
      </c>
    </row>
    <row r="28" spans="2:37" ht="17" customHeight="1" x14ac:dyDescent="0.2">
      <c r="B28" s="12" t="s">
        <v>26</v>
      </c>
      <c r="C28" s="2">
        <f t="shared" si="8"/>
        <v>267564.68687520002</v>
      </c>
      <c r="D28" s="1">
        <v>0.1</v>
      </c>
      <c r="F28" s="12" t="s">
        <v>26</v>
      </c>
      <c r="G28" s="2">
        <f t="shared" si="9"/>
        <v>85000</v>
      </c>
      <c r="J28" s="12" t="s">
        <v>26</v>
      </c>
      <c r="K28" s="2">
        <f t="shared" si="10"/>
        <v>303631.24664847658</v>
      </c>
      <c r="L28" s="1">
        <v>0.01</v>
      </c>
      <c r="N28" s="12" t="s">
        <v>26</v>
      </c>
      <c r="O28" s="2">
        <f t="shared" si="11"/>
        <v>206035.48879718053</v>
      </c>
      <c r="P28" s="1">
        <v>0.01</v>
      </c>
      <c r="R28" s="12" t="s">
        <v>26</v>
      </c>
      <c r="S28" s="2">
        <f>Tabla37891011254216[[#This Row],[Precio]]*1.5</f>
        <v>455446.86997271486</v>
      </c>
      <c r="T28" s="1">
        <v>0.01</v>
      </c>
      <c r="U28" s="1"/>
      <c r="V28" s="12" t="s">
        <v>26</v>
      </c>
      <c r="W28" s="2">
        <f>Tabla3789101112264317[[#This Row],[Precio]]*1.5</f>
        <v>309053.23319577076</v>
      </c>
      <c r="X28" s="1">
        <v>0.01</v>
      </c>
      <c r="Z28" s="12" t="s">
        <v>26</v>
      </c>
      <c r="AA28" s="2">
        <f t="shared" si="12"/>
        <v>261458.12448000003</v>
      </c>
      <c r="AB28" s="1">
        <v>0.08</v>
      </c>
      <c r="AD28" s="12" t="s">
        <v>26</v>
      </c>
      <c r="AE28" s="2">
        <f t="shared" si="13"/>
        <v>1426873.3119647999</v>
      </c>
      <c r="AF28" s="1">
        <v>0.08</v>
      </c>
      <c r="AH28" s="12" t="s">
        <v>26</v>
      </c>
      <c r="AI28" s="2">
        <f t="shared" si="14"/>
        <v>136118.71050750001</v>
      </c>
      <c r="AJ28" s="1">
        <v>0.08</v>
      </c>
    </row>
    <row r="29" spans="2:37" ht="17" customHeight="1" x14ac:dyDescent="0.2">
      <c r="B29" s="12" t="s">
        <v>27</v>
      </c>
      <c r="C29" s="2">
        <f t="shared" si="8"/>
        <v>294321.15556272003</v>
      </c>
      <c r="D29" s="1">
        <v>0.1</v>
      </c>
      <c r="F29" s="12" t="s">
        <v>27</v>
      </c>
      <c r="G29" s="2">
        <f t="shared" si="9"/>
        <v>85000</v>
      </c>
      <c r="J29" s="12" t="s">
        <v>27</v>
      </c>
      <c r="K29" s="2">
        <f t="shared" si="10"/>
        <v>315776.49651441566</v>
      </c>
      <c r="L29" s="1">
        <v>0.04</v>
      </c>
      <c r="N29" s="12" t="s">
        <v>27</v>
      </c>
      <c r="O29" s="2">
        <f t="shared" si="11"/>
        <v>214276.90834906776</v>
      </c>
      <c r="P29" s="1">
        <v>0.04</v>
      </c>
      <c r="R29" s="12" t="s">
        <v>27</v>
      </c>
      <c r="S29" s="2">
        <f>Tabla37891011254216[[#This Row],[Precio]]*1.5</f>
        <v>473664.74477162352</v>
      </c>
      <c r="T29" s="1">
        <v>0.04</v>
      </c>
      <c r="U29" s="1"/>
      <c r="V29" s="12" t="s">
        <v>27</v>
      </c>
      <c r="W29" s="2">
        <f>Tabla3789101112264317[[#This Row],[Precio]]*1.5</f>
        <v>321415.36252360162</v>
      </c>
      <c r="X29" s="1">
        <v>0.04</v>
      </c>
      <c r="Z29" s="12" t="s">
        <v>27</v>
      </c>
      <c r="AA29" s="2">
        <f t="shared" si="12"/>
        <v>282374.77443840005</v>
      </c>
      <c r="AB29" s="1">
        <v>0.08</v>
      </c>
      <c r="AD29" s="12" t="s">
        <v>27</v>
      </c>
      <c r="AE29" s="2">
        <f t="shared" si="13"/>
        <v>1541023.1769219839</v>
      </c>
      <c r="AF29" s="1">
        <v>0.08</v>
      </c>
      <c r="AH29" s="12" t="s">
        <v>27</v>
      </c>
      <c r="AI29" s="2">
        <f t="shared" si="14"/>
        <v>147008.20734810003</v>
      </c>
      <c r="AJ29" s="1">
        <v>0.08</v>
      </c>
    </row>
    <row r="30" spans="2:37" ht="17" customHeight="1" x14ac:dyDescent="0.2">
      <c r="B30" s="12" t="s">
        <v>28</v>
      </c>
      <c r="C30" s="2">
        <f t="shared" si="8"/>
        <v>323753.27111899201</v>
      </c>
      <c r="D30" s="1">
        <v>0.1</v>
      </c>
      <c r="F30" s="12" t="s">
        <v>28</v>
      </c>
      <c r="G30" s="2">
        <f t="shared" si="9"/>
        <v>85000</v>
      </c>
      <c r="J30" s="12" t="s">
        <v>28</v>
      </c>
      <c r="K30" s="2">
        <f t="shared" si="10"/>
        <v>328407.5563749923</v>
      </c>
      <c r="L30" s="1">
        <v>0.04</v>
      </c>
      <c r="N30" s="12" t="s">
        <v>28</v>
      </c>
      <c r="O30" s="2">
        <f t="shared" si="11"/>
        <v>222847.98468303046</v>
      </c>
      <c r="P30" s="1">
        <v>0.04</v>
      </c>
      <c r="R30" s="12" t="s">
        <v>28</v>
      </c>
      <c r="S30" s="2">
        <f>Tabla37891011254216[[#This Row],[Precio]]*1.5</f>
        <v>492611.33456248848</v>
      </c>
      <c r="T30" s="1">
        <v>0.04</v>
      </c>
      <c r="U30" s="1"/>
      <c r="V30" s="12" t="s">
        <v>28</v>
      </c>
      <c r="W30" s="2">
        <f>Tabla3789101112264317[[#This Row],[Precio]]*1.5</f>
        <v>334271.97702454566</v>
      </c>
      <c r="X30" s="1">
        <v>0.04</v>
      </c>
      <c r="Z30" s="12" t="s">
        <v>28</v>
      </c>
      <c r="AA30" s="2">
        <f t="shared" si="12"/>
        <v>304964.75639347208</v>
      </c>
      <c r="AB30" s="1">
        <v>0.08</v>
      </c>
      <c r="AD30" s="12" t="s">
        <v>28</v>
      </c>
      <c r="AE30" s="2">
        <f t="shared" si="13"/>
        <v>1664305.0310757426</v>
      </c>
      <c r="AF30" s="1">
        <v>0.08</v>
      </c>
      <c r="AH30" s="12" t="s">
        <v>28</v>
      </c>
      <c r="AI30" s="2">
        <f t="shared" si="14"/>
        <v>158768.86393594803</v>
      </c>
      <c r="AJ30" s="1">
        <v>0.08</v>
      </c>
    </row>
    <row r="31" spans="2:37" ht="17" customHeight="1" x14ac:dyDescent="0.2">
      <c r="B31" s="12" t="s">
        <v>29</v>
      </c>
      <c r="C31" s="2">
        <f t="shared" si="8"/>
        <v>349653.53280851134</v>
      </c>
      <c r="D31" s="1">
        <v>0.08</v>
      </c>
      <c r="F31" s="12" t="s">
        <v>29</v>
      </c>
      <c r="G31" s="2">
        <f t="shared" si="9"/>
        <v>85000</v>
      </c>
      <c r="J31" s="12" t="s">
        <v>29</v>
      </c>
      <c r="K31" s="2">
        <f t="shared" si="10"/>
        <v>341543.858629992</v>
      </c>
      <c r="L31" s="1">
        <v>0.04</v>
      </c>
      <c r="N31" s="12" t="s">
        <v>29</v>
      </c>
      <c r="O31" s="2">
        <f t="shared" si="11"/>
        <v>231761.90407035168</v>
      </c>
      <c r="P31" s="1">
        <v>0.04</v>
      </c>
      <c r="R31" s="12" t="s">
        <v>29</v>
      </c>
      <c r="S31" s="2">
        <f>Tabla37891011254216[[#This Row],[Precio]]*1.5</f>
        <v>512315.787944988</v>
      </c>
      <c r="T31" s="1">
        <v>0.04</v>
      </c>
      <c r="U31" s="1"/>
      <c r="V31" s="12" t="s">
        <v>29</v>
      </c>
      <c r="W31" s="2">
        <f>Tabla3789101112264317[[#This Row],[Precio]]*1.5</f>
        <v>347642.85610552749</v>
      </c>
      <c r="X31" s="1">
        <v>0.04</v>
      </c>
      <c r="Z31" s="12" t="s">
        <v>29</v>
      </c>
      <c r="AA31" s="2">
        <f t="shared" si="12"/>
        <v>329361.93690494983</v>
      </c>
      <c r="AB31" s="1">
        <v>0.08</v>
      </c>
      <c r="AD31" s="12" t="s">
        <v>29</v>
      </c>
      <c r="AE31" s="2">
        <f t="shared" si="13"/>
        <v>1797449.4335618019</v>
      </c>
      <c r="AF31" s="1">
        <v>0.08</v>
      </c>
      <c r="AH31" s="12" t="s">
        <v>29</v>
      </c>
      <c r="AI31" s="2">
        <f t="shared" si="14"/>
        <v>171470.37305082387</v>
      </c>
      <c r="AJ31" s="1">
        <v>0.08</v>
      </c>
    </row>
    <row r="32" spans="2:37" ht="17" customHeight="1" x14ac:dyDescent="0.2">
      <c r="B32" s="12" t="s">
        <v>37</v>
      </c>
      <c r="C32" s="2">
        <f t="shared" si="8"/>
        <v>367136.20944893692</v>
      </c>
      <c r="D32" s="1">
        <v>0.05</v>
      </c>
      <c r="F32" s="12" t="s">
        <v>37</v>
      </c>
      <c r="G32" s="2">
        <f t="shared" si="9"/>
        <v>85000</v>
      </c>
      <c r="J32" s="12" t="s">
        <v>37</v>
      </c>
      <c r="K32" s="2">
        <f t="shared" si="10"/>
        <v>375698.24449299119</v>
      </c>
      <c r="L32" s="1">
        <v>0.1</v>
      </c>
      <c r="N32" s="12" t="s">
        <v>37</v>
      </c>
      <c r="O32" s="2">
        <f t="shared" si="11"/>
        <v>254938.09447738685</v>
      </c>
      <c r="P32" s="1">
        <v>0.1</v>
      </c>
      <c r="R32" s="12" t="s">
        <v>37</v>
      </c>
      <c r="S32" s="2">
        <f>Tabla37891011254216[[#This Row],[Precio]]*1.5</f>
        <v>563547.36673948681</v>
      </c>
      <c r="T32" s="1">
        <v>0.1</v>
      </c>
      <c r="U32" s="2"/>
      <c r="V32" s="12" t="s">
        <v>37</v>
      </c>
      <c r="W32" s="2">
        <f>Tabla3789101112264317[[#This Row],[Precio]]*1.5</f>
        <v>382407.14171608025</v>
      </c>
      <c r="X32" s="1">
        <v>0.1</v>
      </c>
      <c r="Z32" s="12" t="s">
        <v>37</v>
      </c>
      <c r="AA32" s="2">
        <f t="shared" si="12"/>
        <v>362298.13059544482</v>
      </c>
      <c r="AB32" s="1">
        <v>0.1</v>
      </c>
      <c r="AD32" s="12" t="s">
        <v>37</v>
      </c>
      <c r="AE32" s="2">
        <f t="shared" si="13"/>
        <v>1977194.376917982</v>
      </c>
      <c r="AF32" s="1">
        <v>0.1</v>
      </c>
      <c r="AH32" s="12" t="s">
        <v>37</v>
      </c>
      <c r="AI32" s="2">
        <f t="shared" si="14"/>
        <v>188617.41035590626</v>
      </c>
      <c r="AJ32" s="1">
        <v>0.1</v>
      </c>
    </row>
    <row r="33" spans="2:37" ht="17" customHeight="1" x14ac:dyDescent="0.2">
      <c r="B33" s="12" t="s">
        <v>38</v>
      </c>
      <c r="C33" s="2">
        <f t="shared" si="8"/>
        <v>385493.01992138376</v>
      </c>
      <c r="D33" s="1">
        <v>0.05</v>
      </c>
      <c r="F33" s="12" t="s">
        <v>38</v>
      </c>
      <c r="G33" s="2">
        <f t="shared" si="9"/>
        <v>85000</v>
      </c>
      <c r="J33" s="12" t="s">
        <v>38</v>
      </c>
      <c r="K33" s="2">
        <f t="shared" si="10"/>
        <v>413268.06894229032</v>
      </c>
      <c r="L33" s="1">
        <v>0.1</v>
      </c>
      <c r="N33" s="12" t="s">
        <v>38</v>
      </c>
      <c r="O33" s="2">
        <f t="shared" si="11"/>
        <v>280431.90392512555</v>
      </c>
      <c r="P33" s="1">
        <v>0.1</v>
      </c>
      <c r="R33" s="12" t="s">
        <v>38</v>
      </c>
      <c r="S33" s="2">
        <f>Tabla37891011254216[[#This Row],[Precio]]*1.5</f>
        <v>619902.10341343551</v>
      </c>
      <c r="T33" s="1">
        <v>0.1</v>
      </c>
      <c r="U33" s="2"/>
      <c r="V33" s="12" t="s">
        <v>38</v>
      </c>
      <c r="W33" s="2">
        <f>Tabla3789101112264317[[#This Row],[Precio]]*1.5</f>
        <v>420647.85588768835</v>
      </c>
      <c r="X33" s="1">
        <v>0.1</v>
      </c>
      <c r="Z33" s="12" t="s">
        <v>38</v>
      </c>
      <c r="AA33" s="2">
        <f t="shared" si="12"/>
        <v>398527.9436549893</v>
      </c>
      <c r="AB33" s="1">
        <v>0.1</v>
      </c>
      <c r="AD33" s="12" t="s">
        <v>38</v>
      </c>
      <c r="AE33" s="2">
        <f t="shared" si="13"/>
        <v>2174913.81460978</v>
      </c>
      <c r="AF33" s="1">
        <v>0.1</v>
      </c>
      <c r="AH33" s="12" t="s">
        <v>38</v>
      </c>
      <c r="AI33" s="2">
        <f t="shared" si="14"/>
        <v>207479.15139149688</v>
      </c>
      <c r="AJ33" s="1">
        <v>0.1</v>
      </c>
    </row>
    <row r="34" spans="2:37" ht="17" customHeight="1" x14ac:dyDescent="0.2">
      <c r="B34" s="12" t="s">
        <v>39</v>
      </c>
      <c r="C34" s="2">
        <f t="shared" si="8"/>
        <v>404767.67091745295</v>
      </c>
      <c r="D34" s="1">
        <v>0.05</v>
      </c>
      <c r="F34" s="12" t="s">
        <v>39</v>
      </c>
      <c r="G34" s="2">
        <f t="shared" si="9"/>
        <v>85000</v>
      </c>
      <c r="J34" s="12" t="s">
        <v>39</v>
      </c>
      <c r="K34" s="2">
        <f t="shared" si="10"/>
        <v>454594.87583651935</v>
      </c>
      <c r="L34" s="1">
        <v>0.1</v>
      </c>
      <c r="N34" s="12" t="s">
        <v>39</v>
      </c>
      <c r="O34" s="2">
        <f t="shared" si="11"/>
        <v>308475.09431763808</v>
      </c>
      <c r="P34" s="1">
        <v>0.1</v>
      </c>
      <c r="R34" s="12" t="s">
        <v>39</v>
      </c>
      <c r="S34" s="2">
        <f>Tabla37891011254216[[#This Row],[Precio]]*1.5</f>
        <v>681892.31375477905</v>
      </c>
      <c r="T34" s="1">
        <v>0.1</v>
      </c>
      <c r="U34" s="2"/>
      <c r="V34" s="12" t="s">
        <v>39</v>
      </c>
      <c r="W34" s="2">
        <f>Tabla3789101112264317[[#This Row],[Precio]]*1.5</f>
        <v>462712.64147645712</v>
      </c>
      <c r="X34" s="1">
        <v>0.1</v>
      </c>
      <c r="Z34" s="12" t="s">
        <v>39</v>
      </c>
      <c r="AA34" s="2">
        <f t="shared" si="12"/>
        <v>438380.73802048824</v>
      </c>
      <c r="AB34" s="1">
        <v>0.1</v>
      </c>
      <c r="AD34" s="12" t="s">
        <v>39</v>
      </c>
      <c r="AE34" s="2">
        <f t="shared" si="13"/>
        <v>2392405.1960707582</v>
      </c>
      <c r="AF34" s="1">
        <v>0.1</v>
      </c>
      <c r="AH34" s="12" t="s">
        <v>39</v>
      </c>
      <c r="AI34" s="2">
        <f t="shared" si="14"/>
        <v>228227.06653064658</v>
      </c>
      <c r="AJ34" s="1">
        <v>0.1</v>
      </c>
    </row>
    <row r="35" spans="2:37" ht="17" customHeight="1" x14ac:dyDescent="0.2">
      <c r="B35" s="12" t="s">
        <v>40</v>
      </c>
      <c r="C35" s="2">
        <f t="shared" si="8"/>
        <v>445244.43800919823</v>
      </c>
      <c r="D35" s="1">
        <v>0.1</v>
      </c>
      <c r="F35" s="12" t="s">
        <v>40</v>
      </c>
      <c r="G35" s="2">
        <f t="shared" si="9"/>
        <v>85000</v>
      </c>
      <c r="J35" s="12" t="s">
        <v>40</v>
      </c>
      <c r="K35" s="2">
        <f t="shared" si="10"/>
        <v>500054.36342017131</v>
      </c>
      <c r="L35" s="1">
        <v>0.1</v>
      </c>
      <c r="N35" s="12" t="s">
        <v>40</v>
      </c>
      <c r="O35" s="2">
        <f t="shared" si="11"/>
        <v>339322.60374940187</v>
      </c>
      <c r="P35" s="1">
        <v>0.1</v>
      </c>
      <c r="R35" s="12" t="s">
        <v>40</v>
      </c>
      <c r="S35" s="2">
        <f>Tabla37891011254216[[#This Row],[Precio]]*1.5</f>
        <v>750081.54513025703</v>
      </c>
      <c r="T35" s="1">
        <v>0.1</v>
      </c>
      <c r="U35" s="2"/>
      <c r="V35" s="12" t="s">
        <v>40</v>
      </c>
      <c r="W35" s="2">
        <f>Tabla3789101112264317[[#This Row],[Precio]]*1.5</f>
        <v>508983.9056241028</v>
      </c>
      <c r="X35" s="1">
        <v>0.1</v>
      </c>
      <c r="Z35" s="12" t="s">
        <v>40</v>
      </c>
      <c r="AA35" s="2">
        <f t="shared" si="12"/>
        <v>482218.81182253704</v>
      </c>
      <c r="AB35" s="1">
        <v>0.1</v>
      </c>
      <c r="AD35" s="12" t="s">
        <v>40</v>
      </c>
      <c r="AE35" s="2">
        <f t="shared" si="13"/>
        <v>2631645.7156778341</v>
      </c>
      <c r="AF35" s="1">
        <v>0.1</v>
      </c>
      <c r="AH35" s="12" t="s">
        <v>40</v>
      </c>
      <c r="AI35" s="2">
        <f t="shared" si="14"/>
        <v>251049.77318371125</v>
      </c>
      <c r="AJ35" s="1">
        <v>0.1</v>
      </c>
    </row>
    <row r="36" spans="2:37" ht="17" customHeight="1" x14ac:dyDescent="0.2">
      <c r="F36" s="2"/>
      <c r="G36" s="2"/>
      <c r="K36" s="2"/>
      <c r="L36" s="2"/>
      <c r="M36" s="2"/>
      <c r="N36" s="2"/>
      <c r="O36" s="2"/>
      <c r="P36" s="12"/>
      <c r="R36" s="12"/>
      <c r="S36" s="2"/>
      <c r="T36" s="2"/>
      <c r="U36" s="12"/>
      <c r="V36" s="12"/>
      <c r="W36" s="2">
        <f>Tabla3789101112264317[[#This Row],[Precio]]*1.5</f>
        <v>0</v>
      </c>
      <c r="X36" s="2"/>
      <c r="Z36" s="2"/>
      <c r="AA36" s="2"/>
      <c r="AB36" s="12"/>
      <c r="AD36" s="2"/>
      <c r="AE36" s="2"/>
      <c r="AF36" s="12"/>
      <c r="AG36" s="2"/>
      <c r="AH36" s="2"/>
      <c r="AI36" s="12"/>
      <c r="AJ36" s="2"/>
    </row>
    <row r="37" spans="2:37" ht="17" customHeight="1" x14ac:dyDescent="0.2">
      <c r="F37" s="12"/>
      <c r="G37" s="2"/>
      <c r="M37" s="12"/>
      <c r="N37" s="2"/>
      <c r="O37" s="2"/>
      <c r="P37" s="12"/>
      <c r="Q37" s="2"/>
      <c r="U37" s="2"/>
      <c r="Y37" s="12"/>
      <c r="AG37" s="2"/>
      <c r="AK37" s="12"/>
    </row>
    <row r="38" spans="2:37" ht="17" customHeight="1" x14ac:dyDescent="0.2">
      <c r="G38" s="2"/>
      <c r="K38" s="2"/>
      <c r="L38" s="2"/>
      <c r="M38" s="12"/>
      <c r="N38" s="2"/>
      <c r="O38" s="2"/>
      <c r="P38" s="12"/>
      <c r="Q38" s="2"/>
      <c r="U38" s="2"/>
      <c r="Y38" s="12"/>
      <c r="AG38" s="2"/>
      <c r="AK38" s="12"/>
    </row>
    <row r="39" spans="2:37" ht="17" customHeight="1" x14ac:dyDescent="0.2">
      <c r="G39" s="2"/>
      <c r="H39" s="2"/>
      <c r="K39" s="2"/>
      <c r="L39" s="2"/>
      <c r="M39" s="12"/>
      <c r="N39" s="2"/>
      <c r="O39" s="2"/>
      <c r="P39" s="12"/>
      <c r="Q39" s="2"/>
      <c r="Y39" s="12"/>
      <c r="AK39" s="12"/>
    </row>
    <row r="40" spans="2:37" ht="17" customHeight="1" x14ac:dyDescent="0.2">
      <c r="G40" s="2"/>
      <c r="H40" s="2"/>
      <c r="K40" s="2"/>
      <c r="L40" s="2"/>
      <c r="M40" s="12"/>
      <c r="N40" s="2"/>
      <c r="O40" s="2"/>
      <c r="P40" s="12"/>
      <c r="Q40" s="2"/>
      <c r="AK40" s="12"/>
    </row>
    <row r="41" spans="2:37" ht="17" customHeight="1" x14ac:dyDescent="0.2">
      <c r="G41" s="2"/>
      <c r="H41" s="2"/>
      <c r="K41" s="2"/>
      <c r="L41" s="2"/>
      <c r="M41" s="12"/>
      <c r="N41" s="2"/>
      <c r="O41" s="2"/>
      <c r="P41" s="12"/>
      <c r="Q41" s="2"/>
      <c r="U41" s="2"/>
      <c r="Y41" s="12"/>
      <c r="AC41" s="2"/>
      <c r="AK41" s="12"/>
    </row>
    <row r="42" spans="2:37" ht="17" customHeight="1" x14ac:dyDescent="0.2">
      <c r="G42" s="2"/>
      <c r="H42" s="2"/>
      <c r="K42" s="2"/>
      <c r="L42" s="2"/>
      <c r="M42" s="12"/>
      <c r="N42" s="2"/>
      <c r="O42" s="2"/>
      <c r="P42" s="12"/>
      <c r="Q42" s="2"/>
      <c r="U42" s="2"/>
      <c r="Y42" s="12"/>
      <c r="AC42" s="2"/>
      <c r="AK42" s="12"/>
    </row>
    <row r="43" spans="2:37" ht="17" customHeight="1" x14ac:dyDescent="0.2">
      <c r="G43" s="2"/>
      <c r="H43" s="2"/>
      <c r="K43" s="2"/>
      <c r="L43" s="2"/>
      <c r="M43" s="12"/>
      <c r="N43" s="2"/>
      <c r="O43" s="2"/>
      <c r="P43" s="12"/>
      <c r="Q43" s="2"/>
      <c r="U43" s="2"/>
      <c r="Y43" s="12"/>
      <c r="AC43" s="2"/>
      <c r="AK43" s="12"/>
    </row>
    <row r="44" spans="2:37" ht="17" customHeight="1" x14ac:dyDescent="0.2">
      <c r="G44" s="2"/>
      <c r="H44" s="2"/>
      <c r="K44" s="2"/>
      <c r="L44" s="2"/>
      <c r="M44" s="12"/>
      <c r="N44" s="2"/>
      <c r="O44" s="2"/>
      <c r="P44" s="12"/>
      <c r="Q44" s="2"/>
      <c r="U44" s="2"/>
      <c r="Y44" s="12"/>
      <c r="AC44" s="2"/>
      <c r="AK44" s="12"/>
    </row>
    <row r="45" spans="2:37" ht="17" customHeight="1" x14ac:dyDescent="0.2">
      <c r="G45" s="2"/>
      <c r="H45" s="2"/>
      <c r="K45" s="2"/>
      <c r="L45" s="2"/>
      <c r="M45" s="12"/>
      <c r="N45" s="2"/>
      <c r="O45" s="2"/>
      <c r="P45" s="12"/>
      <c r="Q45" s="2"/>
      <c r="U45" s="2"/>
      <c r="Y45" s="12"/>
      <c r="AC45" s="2"/>
      <c r="AK45" s="12"/>
    </row>
    <row r="46" spans="2:37" ht="17" customHeight="1" x14ac:dyDescent="0.2">
      <c r="G46" s="2"/>
      <c r="H46" s="2"/>
      <c r="K46" s="2"/>
      <c r="L46" s="2"/>
      <c r="M46" s="12"/>
      <c r="N46" s="2"/>
      <c r="O46" s="2"/>
      <c r="P46" s="12"/>
      <c r="Q46" s="2"/>
      <c r="U46" s="2"/>
      <c r="Y46" s="12"/>
      <c r="AC46" s="2"/>
      <c r="AK46" s="12"/>
    </row>
    <row r="47" spans="2:37" ht="17" customHeight="1" x14ac:dyDescent="0.2">
      <c r="G47" s="2"/>
      <c r="H47" s="2"/>
      <c r="K47" s="2"/>
      <c r="L47" s="2"/>
      <c r="M47" s="12"/>
      <c r="N47" s="2"/>
      <c r="O47" s="2"/>
      <c r="P47" s="12"/>
      <c r="Q47" s="2"/>
      <c r="U47" s="2"/>
      <c r="Y47" s="12"/>
      <c r="AC47" s="2"/>
      <c r="AK47" s="12"/>
    </row>
    <row r="48" spans="2:37" ht="17" customHeight="1" x14ac:dyDescent="0.2">
      <c r="G48" s="2"/>
      <c r="H48" s="2"/>
      <c r="K48" s="2"/>
      <c r="L48" s="2"/>
      <c r="M48" s="12"/>
      <c r="N48" s="2"/>
      <c r="O48" s="2"/>
      <c r="P48" s="12"/>
      <c r="Q48" s="2"/>
      <c r="U48" s="2"/>
      <c r="Y48" s="12"/>
      <c r="AC48" s="2"/>
      <c r="AK48" s="12"/>
    </row>
    <row r="49" spans="7:37" ht="17" customHeight="1" x14ac:dyDescent="0.2">
      <c r="G49" s="2"/>
      <c r="H49" s="2"/>
      <c r="K49" s="2"/>
      <c r="L49" s="2"/>
      <c r="M49" s="12"/>
      <c r="N49" s="2"/>
      <c r="O49" s="2"/>
      <c r="P49" s="12"/>
      <c r="Q49" s="2"/>
      <c r="U49" s="2"/>
      <c r="Y49" s="12"/>
      <c r="AC49" s="2"/>
      <c r="AK49" s="12"/>
    </row>
    <row r="50" spans="7:37" ht="17" customHeight="1" x14ac:dyDescent="0.2">
      <c r="G50" s="2"/>
      <c r="H50" s="2"/>
      <c r="K50" s="2"/>
      <c r="L50" s="2"/>
      <c r="M50" s="12"/>
      <c r="N50" s="2"/>
      <c r="O50" s="2"/>
      <c r="P50" s="12"/>
      <c r="Q50" s="2"/>
      <c r="U50" s="2"/>
      <c r="Y50" s="12"/>
      <c r="AC50" s="2"/>
      <c r="AK50" s="12"/>
    </row>
    <row r="51" spans="7:37" ht="17" customHeight="1" x14ac:dyDescent="0.2">
      <c r="G51" s="2"/>
      <c r="H51" s="2"/>
      <c r="K51" s="2"/>
      <c r="L51" s="2"/>
      <c r="M51" s="12"/>
      <c r="N51" s="2"/>
      <c r="O51" s="2"/>
      <c r="P51" s="12"/>
      <c r="Q51" s="2"/>
      <c r="U51" s="2"/>
      <c r="Y51" s="12"/>
      <c r="AC51" s="2"/>
      <c r="AK51" s="12"/>
    </row>
    <row r="52" spans="7:37" ht="17" customHeight="1" x14ac:dyDescent="0.2">
      <c r="G52" s="2"/>
      <c r="H52" s="2"/>
      <c r="K52" s="2"/>
      <c r="L52" s="2"/>
      <c r="M52" s="12"/>
      <c r="N52" s="2"/>
      <c r="O52" s="2"/>
      <c r="P52" s="12"/>
      <c r="Q52" s="2"/>
      <c r="U52" s="2"/>
      <c r="Y52" s="12"/>
      <c r="AC52" s="2"/>
      <c r="AK52" s="12"/>
    </row>
    <row r="53" spans="7:37" ht="17" customHeight="1" x14ac:dyDescent="0.2">
      <c r="G53" s="2"/>
      <c r="H53" s="2"/>
      <c r="K53" s="2"/>
      <c r="L53" s="2"/>
      <c r="M53" s="12"/>
      <c r="N53" s="2"/>
      <c r="O53" s="2"/>
      <c r="P53" s="12"/>
      <c r="Q53" s="2"/>
      <c r="U53" s="2"/>
      <c r="Y53" s="12"/>
      <c r="AC53" s="2"/>
      <c r="AK53" s="12"/>
    </row>
    <row r="54" spans="7:37" ht="17" customHeight="1" x14ac:dyDescent="0.2">
      <c r="G54" s="2"/>
      <c r="H54" s="2"/>
      <c r="K54" s="2"/>
      <c r="L54" s="2"/>
      <c r="M54" s="12"/>
      <c r="N54" s="2"/>
      <c r="O54" s="2"/>
      <c r="P54" s="12"/>
      <c r="Q54" s="2"/>
      <c r="U54" s="2"/>
      <c r="Y54" s="12"/>
      <c r="AC54" s="2"/>
      <c r="AK54" s="12"/>
    </row>
    <row r="55" spans="7:37" ht="80" customHeight="1" x14ac:dyDescent="0.2">
      <c r="J55"/>
      <c r="N55" s="2"/>
      <c r="O55" s="2"/>
      <c r="P55" s="12"/>
      <c r="Q55" s="2"/>
      <c r="U55" s="2"/>
      <c r="Y55" s="12"/>
      <c r="AC55" s="2"/>
      <c r="AK55" s="12"/>
    </row>
    <row r="56" spans="7:37" ht="17" customHeight="1" x14ac:dyDescent="0.2">
      <c r="J56"/>
      <c r="N56" s="2"/>
      <c r="O56" s="2"/>
      <c r="P56" s="12"/>
      <c r="Q56" s="2"/>
      <c r="U56" s="2"/>
      <c r="Y56" s="12"/>
      <c r="AC56" s="2"/>
      <c r="AK56" s="12"/>
    </row>
    <row r="57" spans="7:37" ht="17" customHeight="1" x14ac:dyDescent="0.2">
      <c r="J57"/>
      <c r="N57" s="2"/>
      <c r="O57" s="2"/>
      <c r="P57" s="12"/>
      <c r="Q57" s="2"/>
      <c r="U57" s="2"/>
      <c r="Y57" s="12"/>
      <c r="AC57" s="2"/>
      <c r="AK57" s="12"/>
    </row>
    <row r="58" spans="7:37" ht="17" customHeight="1" x14ac:dyDescent="0.2">
      <c r="J58"/>
      <c r="N58" s="2"/>
      <c r="O58" s="2"/>
      <c r="P58" s="12"/>
      <c r="Q58" s="2"/>
      <c r="U58" s="2"/>
      <c r="Y58" s="12"/>
      <c r="AC58" s="2"/>
      <c r="AK58" s="12"/>
    </row>
    <row r="59" spans="7:37" ht="17" customHeight="1" x14ac:dyDescent="0.2">
      <c r="J59"/>
      <c r="N59" s="2"/>
      <c r="O59" s="2"/>
      <c r="P59" s="12"/>
      <c r="Q59" s="2"/>
      <c r="U59" s="2"/>
      <c r="Y59" s="12"/>
      <c r="AC59" s="2"/>
      <c r="AK59" s="12"/>
    </row>
    <row r="60" spans="7:37" ht="17" customHeight="1" x14ac:dyDescent="0.2">
      <c r="J60"/>
      <c r="N60" s="2"/>
      <c r="O60" s="2"/>
      <c r="P60" s="12"/>
      <c r="Q60" s="2"/>
      <c r="U60" s="2"/>
      <c r="Y60" s="12"/>
      <c r="AC60" s="2"/>
      <c r="AK60" s="12"/>
    </row>
    <row r="61" spans="7:37" ht="17" customHeight="1" x14ac:dyDescent="0.2">
      <c r="J61"/>
      <c r="N61" s="2"/>
      <c r="O61" s="2"/>
      <c r="P61" s="12"/>
      <c r="Q61" s="2"/>
      <c r="U61" s="2"/>
      <c r="Y61" s="12"/>
      <c r="AC61" s="2"/>
      <c r="AK61" s="12"/>
    </row>
    <row r="62" spans="7:37" ht="17" customHeight="1" x14ac:dyDescent="0.2">
      <c r="J62"/>
      <c r="N62" s="2"/>
      <c r="O62" s="2"/>
      <c r="P62" s="12"/>
      <c r="Q62" s="2"/>
      <c r="U62" s="2"/>
      <c r="Y62" s="12"/>
      <c r="AC62" s="2"/>
      <c r="AK62" s="12"/>
    </row>
    <row r="63" spans="7:37" ht="17" customHeight="1" x14ac:dyDescent="0.2">
      <c r="J63"/>
      <c r="N63" s="2"/>
      <c r="O63" s="2"/>
      <c r="P63" s="12"/>
      <c r="Q63" s="2"/>
      <c r="U63" s="2"/>
      <c r="Y63" s="12"/>
      <c r="AC63" s="2"/>
      <c r="AK63" s="12"/>
    </row>
    <row r="64" spans="7:37" ht="17" customHeight="1" x14ac:dyDescent="0.2">
      <c r="J64"/>
      <c r="N64" s="2"/>
      <c r="O64" s="2"/>
      <c r="P64" s="12"/>
      <c r="Q64" s="2"/>
      <c r="U64" s="2"/>
      <c r="Y64" s="12"/>
      <c r="AC64" s="2"/>
      <c r="AK64" s="12"/>
    </row>
    <row r="65" spans="10:37" ht="17" customHeight="1" x14ac:dyDescent="0.2">
      <c r="J65"/>
      <c r="N65" s="2"/>
      <c r="O65" s="2"/>
      <c r="P65" s="12"/>
      <c r="Q65" s="2"/>
      <c r="U65" s="2"/>
      <c r="Y65" s="12"/>
      <c r="AC65" s="2"/>
      <c r="AK65" s="12"/>
    </row>
    <row r="66" spans="10:37" ht="17" customHeight="1" x14ac:dyDescent="0.2">
      <c r="J66"/>
      <c r="N66" s="2"/>
      <c r="O66" s="2"/>
      <c r="P66" s="12"/>
      <c r="Q66" s="2"/>
      <c r="U66" s="2"/>
      <c r="Y66" s="12"/>
      <c r="AC66" s="2"/>
      <c r="AK66" s="12"/>
    </row>
    <row r="67" spans="10:37" ht="17" customHeight="1" x14ac:dyDescent="0.2">
      <c r="J67"/>
      <c r="N67" s="2"/>
      <c r="O67" s="2"/>
      <c r="P67" s="12"/>
      <c r="Q67" s="2"/>
      <c r="U67" s="2"/>
      <c r="Y67" s="12"/>
      <c r="AC67" s="2"/>
      <c r="AK67" s="12"/>
    </row>
    <row r="68" spans="10:37" ht="17" customHeight="1" x14ac:dyDescent="0.2">
      <c r="J68"/>
      <c r="N68" s="2"/>
      <c r="O68" s="2"/>
      <c r="P68" s="12"/>
      <c r="Q68" s="2"/>
      <c r="U68" s="2"/>
      <c r="Y68" s="12"/>
      <c r="AC68" s="2"/>
      <c r="AK68" s="12"/>
    </row>
    <row r="69" spans="10:37" ht="17" customHeight="1" x14ac:dyDescent="0.2">
      <c r="J69"/>
      <c r="N69" s="2"/>
      <c r="O69" s="2"/>
      <c r="P69" s="12"/>
      <c r="Q69" s="2"/>
      <c r="U69" s="2"/>
      <c r="Y69" s="12"/>
      <c r="AC69" s="2"/>
      <c r="AK69" s="12"/>
    </row>
    <row r="70" spans="10:37" ht="17" customHeight="1" x14ac:dyDescent="0.2">
      <c r="J70"/>
      <c r="N70" s="2"/>
      <c r="O70" s="2"/>
      <c r="P70" s="12"/>
      <c r="Q70" s="2"/>
      <c r="U70" s="2"/>
      <c r="Y70" s="12"/>
      <c r="AC70" s="2"/>
      <c r="AK70" s="12"/>
    </row>
    <row r="71" spans="10:37" ht="17" customHeight="1" x14ac:dyDescent="0.2">
      <c r="J71"/>
      <c r="N71" s="2"/>
      <c r="O71" s="2"/>
      <c r="P71" s="12"/>
      <c r="Q71" s="2"/>
      <c r="U71" s="2"/>
      <c r="Y71" s="12"/>
      <c r="AC71" s="2"/>
      <c r="AK71" s="12"/>
    </row>
    <row r="72" spans="10:37" ht="17" customHeight="1" x14ac:dyDescent="0.2">
      <c r="J72"/>
      <c r="N72" s="2"/>
      <c r="O72" s="2"/>
      <c r="P72" s="12"/>
      <c r="Q72" s="2"/>
      <c r="U72" s="2"/>
      <c r="Y72" s="12"/>
      <c r="AC72" s="2"/>
      <c r="AK72" s="12"/>
    </row>
    <row r="73" spans="10:37" ht="17" customHeight="1" x14ac:dyDescent="0.2">
      <c r="J73"/>
      <c r="N73" s="2"/>
      <c r="O73" s="2"/>
      <c r="P73" s="12"/>
      <c r="Q73" s="2"/>
      <c r="U73" s="2"/>
      <c r="Y73" s="12"/>
      <c r="AC73" s="2"/>
      <c r="AK73" s="12"/>
    </row>
    <row r="74" spans="10:37" ht="17" customHeight="1" x14ac:dyDescent="0.2">
      <c r="J74"/>
      <c r="N74" s="2"/>
      <c r="O74" s="2"/>
      <c r="P74" s="12"/>
      <c r="Q74" s="2"/>
      <c r="U74" s="2"/>
      <c r="Y74" s="12"/>
      <c r="AC74" s="2"/>
      <c r="AK74" s="12"/>
    </row>
    <row r="75" spans="10:37" ht="17" customHeight="1" x14ac:dyDescent="0.2">
      <c r="J75"/>
      <c r="N75" s="2"/>
      <c r="O75" s="2"/>
      <c r="P75" s="12"/>
      <c r="Q75" s="2"/>
      <c r="U75" s="2"/>
      <c r="Y75" s="12"/>
      <c r="AC75" s="2"/>
      <c r="AK75" s="12"/>
    </row>
    <row r="76" spans="10:37" ht="17" customHeight="1" x14ac:dyDescent="0.2">
      <c r="J76"/>
      <c r="N76" s="2"/>
      <c r="O76" s="2"/>
      <c r="P76" s="12"/>
      <c r="Q76" s="2"/>
      <c r="U76" s="2"/>
      <c r="Y76" s="12"/>
      <c r="AC76" s="2"/>
      <c r="AK76" s="12"/>
    </row>
    <row r="77" spans="10:37" ht="17" customHeight="1" x14ac:dyDescent="0.2">
      <c r="J77"/>
      <c r="N77" s="2"/>
      <c r="O77" s="2"/>
      <c r="P77" s="12"/>
      <c r="Q77" s="2"/>
      <c r="U77" s="2"/>
      <c r="Y77" s="12"/>
      <c r="AC77" s="2"/>
      <c r="AK77" s="12"/>
    </row>
    <row r="78" spans="10:37" ht="17" customHeight="1" x14ac:dyDescent="0.2">
      <c r="J78"/>
      <c r="N78" s="2"/>
      <c r="O78" s="2"/>
      <c r="P78" s="12"/>
      <c r="Q78" s="2"/>
      <c r="U78" s="2"/>
      <c r="Y78" s="12"/>
      <c r="AC78" s="2"/>
      <c r="AK78" s="12"/>
    </row>
    <row r="79" spans="10:37" ht="17" customHeight="1" x14ac:dyDescent="0.2">
      <c r="J79"/>
      <c r="N79" s="2"/>
      <c r="O79" s="2"/>
      <c r="P79" s="12"/>
      <c r="Q79" s="2"/>
      <c r="U79" s="2"/>
      <c r="Y79" s="12"/>
      <c r="AC79" s="2"/>
      <c r="AK79" s="12"/>
    </row>
    <row r="80" spans="10:37" ht="17" customHeight="1" x14ac:dyDescent="0.2">
      <c r="J80"/>
      <c r="N80" s="2"/>
      <c r="O80" s="2"/>
      <c r="P80" s="12"/>
      <c r="Q80" s="2"/>
      <c r="U80" s="2"/>
      <c r="Y80" s="12"/>
      <c r="AC80" s="2"/>
      <c r="AK80" s="12"/>
    </row>
    <row r="81" spans="7:37" ht="17" customHeight="1" x14ac:dyDescent="0.2">
      <c r="J81"/>
      <c r="N81" s="2"/>
      <c r="O81" s="2"/>
      <c r="P81" s="12"/>
      <c r="Q81" s="2"/>
      <c r="U81" s="2"/>
      <c r="Y81" s="12"/>
      <c r="AC81" s="2"/>
      <c r="AK81" s="12"/>
    </row>
    <row r="82" spans="7:37" ht="17" customHeight="1" x14ac:dyDescent="0.2">
      <c r="J82"/>
      <c r="N82" s="2"/>
      <c r="O82" s="2"/>
      <c r="P82" s="12"/>
      <c r="Q82" s="2"/>
      <c r="U82" s="2"/>
      <c r="Y82" s="12"/>
      <c r="AC82" s="2"/>
      <c r="AK82" s="12"/>
    </row>
    <row r="83" spans="7:37" ht="17" customHeight="1" x14ac:dyDescent="0.2">
      <c r="G83" s="2"/>
      <c r="H83" s="2"/>
      <c r="K83" s="2"/>
      <c r="L83" s="2"/>
      <c r="M83" s="12"/>
      <c r="N83" s="2"/>
      <c r="O83" s="2"/>
      <c r="P83" s="12"/>
      <c r="Q83" s="2"/>
      <c r="U83" s="2"/>
      <c r="Y83" s="12"/>
      <c r="AC83" s="2"/>
      <c r="AK83" s="12"/>
    </row>
    <row r="84" spans="7:37" ht="17" customHeight="1" x14ac:dyDescent="0.2">
      <c r="G84" s="2"/>
      <c r="H84" s="2"/>
      <c r="K84" s="2"/>
      <c r="L84" s="2"/>
      <c r="M84" s="12"/>
      <c r="N84" s="2"/>
      <c r="O84" s="2"/>
      <c r="P84" s="12"/>
      <c r="Q84" s="2"/>
      <c r="U84" s="2"/>
      <c r="Y84" s="12"/>
      <c r="AC84" s="2"/>
      <c r="AK84" s="12"/>
    </row>
    <row r="85" spans="7:37" ht="17" customHeight="1" x14ac:dyDescent="0.2">
      <c r="G85" s="2"/>
      <c r="H85" s="2"/>
      <c r="K85" s="2"/>
      <c r="L85" s="2"/>
      <c r="M85" s="12"/>
      <c r="N85" s="2"/>
      <c r="O85" s="2"/>
      <c r="P85" s="12"/>
      <c r="Q85" s="2"/>
      <c r="U85" s="2"/>
      <c r="Y85" s="12"/>
      <c r="AC85" s="2"/>
      <c r="AK85" s="12"/>
    </row>
    <row r="86" spans="7:37" ht="17" customHeight="1" x14ac:dyDescent="0.2">
      <c r="G86" s="2"/>
      <c r="H86" s="2"/>
      <c r="K86" s="2"/>
      <c r="L86" s="2"/>
      <c r="M86" s="12"/>
      <c r="N86" s="2"/>
      <c r="O86" s="2"/>
      <c r="P86" s="12"/>
      <c r="Q86" s="2"/>
      <c r="U86" s="2"/>
      <c r="Y86" s="12"/>
      <c r="AC86" s="2"/>
      <c r="AK86" s="12"/>
    </row>
    <row r="87" spans="7:37" ht="17" customHeight="1" x14ac:dyDescent="0.2">
      <c r="G87" s="2"/>
      <c r="H87" s="2"/>
      <c r="K87" s="2"/>
      <c r="L87" s="2"/>
      <c r="M87" s="12"/>
      <c r="N87" s="2"/>
      <c r="O87" s="2"/>
      <c r="P87" s="12"/>
      <c r="Q87" s="2"/>
      <c r="U87" s="2"/>
      <c r="Y87" s="12"/>
      <c r="AC87" s="2"/>
      <c r="AK87" s="12"/>
    </row>
    <row r="88" spans="7:37" ht="17" customHeight="1" x14ac:dyDescent="0.2">
      <c r="G88" s="2"/>
      <c r="H88" s="2"/>
      <c r="K88" s="2"/>
      <c r="L88" s="2"/>
      <c r="M88" s="12"/>
      <c r="N88" s="2"/>
      <c r="O88" s="2"/>
      <c r="P88" s="12"/>
      <c r="Q88" s="2"/>
      <c r="U88" s="2"/>
      <c r="Y88" s="12"/>
      <c r="AC88" s="2"/>
      <c r="AK88" s="12"/>
    </row>
    <row r="89" spans="7:37" ht="17" customHeight="1" x14ac:dyDescent="0.2">
      <c r="G89" s="2"/>
      <c r="H89" s="2"/>
      <c r="K89" s="2"/>
      <c r="L89" s="2"/>
      <c r="M89" s="12"/>
      <c r="N89" s="2"/>
      <c r="O89" s="2"/>
      <c r="P89" s="12"/>
      <c r="Q89" s="2"/>
      <c r="U89" s="2"/>
      <c r="Y89" s="12"/>
      <c r="AC89" s="2"/>
      <c r="AK89" s="12"/>
    </row>
    <row r="90" spans="7:37" ht="17" customHeight="1" x14ac:dyDescent="0.2">
      <c r="G90" s="2"/>
      <c r="H90" s="2"/>
      <c r="K90" s="2"/>
      <c r="L90" s="2"/>
      <c r="M90" s="12"/>
      <c r="N90" s="2"/>
      <c r="O90" s="2"/>
      <c r="P90" s="12"/>
      <c r="Q90" s="2"/>
      <c r="U90" s="2"/>
      <c r="Y90" s="12"/>
      <c r="AC90" s="2"/>
      <c r="AK90" s="12"/>
    </row>
    <row r="91" spans="7:37" ht="17" customHeight="1" x14ac:dyDescent="0.2">
      <c r="G91" s="2"/>
      <c r="H91" s="2"/>
      <c r="K91" s="2"/>
      <c r="L91" s="2"/>
      <c r="M91" s="12"/>
      <c r="N91" s="2"/>
      <c r="O91" s="2"/>
      <c r="P91" s="12"/>
      <c r="Q91" s="2"/>
      <c r="U91" s="2"/>
      <c r="Y91" s="12"/>
      <c r="AC91" s="2"/>
      <c r="AK91" s="12"/>
    </row>
    <row r="92" spans="7:37" ht="17" customHeight="1" x14ac:dyDescent="0.2">
      <c r="G92" s="2"/>
      <c r="H92" s="2"/>
      <c r="K92" s="2"/>
      <c r="L92" s="2"/>
      <c r="M92" s="12"/>
      <c r="N92" s="2"/>
      <c r="O92" s="2"/>
      <c r="P92" s="12"/>
      <c r="Q92" s="2"/>
      <c r="U92" s="2"/>
      <c r="Y92" s="12"/>
      <c r="AC92" s="2"/>
      <c r="AK92" s="12"/>
    </row>
    <row r="93" spans="7:37" ht="17" customHeight="1" x14ac:dyDescent="0.2">
      <c r="G93" s="2"/>
      <c r="H93" s="2"/>
      <c r="K93" s="2"/>
      <c r="L93" s="2"/>
      <c r="M93" s="12"/>
      <c r="N93" s="2"/>
      <c r="O93" s="2"/>
      <c r="P93" s="12"/>
      <c r="Q93" s="2"/>
      <c r="U93" s="2"/>
      <c r="Y93" s="12"/>
      <c r="AC93" s="2"/>
      <c r="AK93" s="12"/>
    </row>
    <row r="94" spans="7:37" ht="17" customHeight="1" x14ac:dyDescent="0.2">
      <c r="G94" s="2"/>
      <c r="H94" s="2"/>
      <c r="K94" s="2"/>
      <c r="L94" s="2"/>
      <c r="M94" s="12"/>
      <c r="N94" s="2"/>
      <c r="O94" s="2"/>
      <c r="P94" s="12"/>
      <c r="Q94" s="2"/>
      <c r="U94" s="2"/>
      <c r="Y94" s="12"/>
      <c r="AC94" s="2"/>
      <c r="AK94" s="12"/>
    </row>
    <row r="95" spans="7:37" ht="17" customHeight="1" x14ac:dyDescent="0.2">
      <c r="G95" s="2"/>
      <c r="H95" s="2"/>
      <c r="K95" s="2"/>
      <c r="L95" s="2"/>
      <c r="M95" s="12"/>
      <c r="N95" s="2"/>
      <c r="O95" s="2"/>
      <c r="P95" s="12"/>
      <c r="Q95" s="2"/>
      <c r="U95" s="2"/>
      <c r="Y95" s="12"/>
      <c r="AC95" s="2"/>
      <c r="AK95" s="12"/>
    </row>
    <row r="96" spans="7:37" ht="17" customHeight="1" x14ac:dyDescent="0.2">
      <c r="G96" s="2"/>
      <c r="H96" s="2"/>
      <c r="K96" s="2"/>
      <c r="L96" s="2"/>
      <c r="M96" s="12"/>
      <c r="N96" s="2"/>
      <c r="O96" s="2"/>
      <c r="P96" s="12"/>
      <c r="Q96" s="2"/>
      <c r="U96" s="2"/>
      <c r="Y96" s="12"/>
      <c r="AC96" s="2"/>
      <c r="AK96" s="12"/>
    </row>
    <row r="97" spans="7:37" ht="17" customHeight="1" x14ac:dyDescent="0.2">
      <c r="G97" s="2"/>
      <c r="H97" s="2"/>
      <c r="K97" s="2"/>
      <c r="L97" s="2"/>
      <c r="M97" s="12"/>
      <c r="N97" s="2"/>
      <c r="O97" s="2"/>
      <c r="P97" s="12"/>
      <c r="Q97" s="2"/>
      <c r="U97" s="2"/>
      <c r="Y97" s="12"/>
      <c r="AC97" s="2"/>
      <c r="AK97" s="12"/>
    </row>
    <row r="98" spans="7:37" ht="17" customHeight="1" x14ac:dyDescent="0.2">
      <c r="G98" s="2"/>
      <c r="H98" s="2"/>
      <c r="K98" s="2"/>
      <c r="L98" s="2"/>
      <c r="M98" s="12"/>
      <c r="N98" s="2"/>
      <c r="O98" s="2"/>
      <c r="P98" s="12"/>
      <c r="Q98" s="2"/>
      <c r="U98" s="2"/>
      <c r="Y98" s="12"/>
      <c r="AC98" s="2"/>
      <c r="AK98" s="12"/>
    </row>
    <row r="99" spans="7:37" ht="17" customHeight="1" x14ac:dyDescent="0.2">
      <c r="G99" s="2"/>
      <c r="H99" s="2"/>
      <c r="K99" s="2"/>
      <c r="L99" s="2"/>
      <c r="M99" s="12"/>
      <c r="N99" s="2"/>
      <c r="O99" s="2"/>
      <c r="P99" s="12"/>
      <c r="Q99" s="2"/>
      <c r="U99" s="2"/>
      <c r="Y99" s="12"/>
      <c r="AC99" s="2"/>
      <c r="AK99" s="12"/>
    </row>
    <row r="100" spans="7:37" ht="17" customHeight="1" x14ac:dyDescent="0.2">
      <c r="G100" s="2"/>
      <c r="H100" s="2"/>
      <c r="K100" s="2"/>
      <c r="L100" s="2"/>
      <c r="M100" s="12"/>
      <c r="N100" s="2"/>
      <c r="O100" s="2"/>
      <c r="P100" s="12"/>
      <c r="Q100" s="2"/>
      <c r="U100" s="2"/>
      <c r="Y100" s="12"/>
      <c r="AC100" s="2"/>
      <c r="AK100" s="12"/>
    </row>
    <row r="101" spans="7:37" ht="17" customHeight="1" x14ac:dyDescent="0.2">
      <c r="G101" s="2"/>
      <c r="H101" s="2"/>
      <c r="K101" s="2"/>
      <c r="L101" s="2"/>
      <c r="M101" s="12"/>
      <c r="N101" s="2"/>
      <c r="O101" s="2"/>
      <c r="P101" s="12"/>
      <c r="Q101" s="2"/>
      <c r="U101" s="2"/>
      <c r="Y101" s="12"/>
      <c r="AC101" s="2"/>
      <c r="AK101" s="12"/>
    </row>
    <row r="102" spans="7:37" ht="17" customHeight="1" x14ac:dyDescent="0.2">
      <c r="G102" s="2"/>
      <c r="H102" s="2"/>
      <c r="K102" s="2"/>
      <c r="L102" s="2"/>
      <c r="M102" s="12"/>
      <c r="N102" s="2"/>
      <c r="O102" s="2"/>
      <c r="P102" s="12"/>
      <c r="Q102" s="2"/>
      <c r="U102" s="2"/>
      <c r="Y102" s="12"/>
      <c r="AC102" s="2"/>
      <c r="AK102" s="12"/>
    </row>
    <row r="103" spans="7:37" ht="17" customHeight="1" x14ac:dyDescent="0.2">
      <c r="G103" s="2"/>
      <c r="H103" s="2"/>
      <c r="K103" s="2"/>
      <c r="L103" s="2"/>
      <c r="M103" s="12"/>
      <c r="N103" s="2"/>
      <c r="O103" s="2"/>
      <c r="P103" s="12"/>
      <c r="Q103" s="2"/>
      <c r="U103" s="2"/>
      <c r="Y103" s="12"/>
      <c r="AC103" s="2"/>
      <c r="AK103" s="12"/>
    </row>
    <row r="104" spans="7:37" ht="17" customHeight="1" x14ac:dyDescent="0.2">
      <c r="G104" s="2"/>
      <c r="H104" s="2"/>
      <c r="K104" s="2"/>
      <c r="L104" s="2"/>
      <c r="M104" s="12"/>
      <c r="N104" s="2"/>
      <c r="O104" s="2"/>
      <c r="P104" s="12"/>
      <c r="Q104" s="2"/>
      <c r="U104" s="2"/>
      <c r="Y104" s="12"/>
      <c r="AC104" s="2"/>
      <c r="AK104" s="12"/>
    </row>
    <row r="105" spans="7:37" ht="17" customHeight="1" x14ac:dyDescent="0.2">
      <c r="G105" s="2"/>
      <c r="H105" s="2"/>
      <c r="K105" s="2"/>
      <c r="L105" s="2"/>
      <c r="M105" s="12"/>
      <c r="N105" s="2"/>
      <c r="O105" s="2"/>
      <c r="P105" s="12"/>
      <c r="Q105" s="2"/>
      <c r="U105" s="2"/>
      <c r="Y105" s="12"/>
      <c r="AC105" s="2"/>
      <c r="AK105" s="12"/>
    </row>
    <row r="106" spans="7:37" ht="17" customHeight="1" x14ac:dyDescent="0.2">
      <c r="G106" s="2"/>
      <c r="H106" s="2"/>
      <c r="K106" s="2"/>
      <c r="L106" s="2"/>
      <c r="M106" s="12"/>
      <c r="N106" s="2"/>
      <c r="O106" s="2"/>
      <c r="P106" s="12"/>
      <c r="Q106" s="2"/>
      <c r="U106" s="2"/>
      <c r="Y106" s="12"/>
      <c r="AC106" s="2"/>
      <c r="AK106" s="12"/>
    </row>
    <row r="107" spans="7:37" ht="17" customHeight="1" x14ac:dyDescent="0.2">
      <c r="G107" s="2"/>
      <c r="H107" s="2"/>
      <c r="K107" s="2"/>
      <c r="L107" s="2"/>
      <c r="M107" s="12"/>
      <c r="N107" s="2"/>
      <c r="O107" s="2"/>
      <c r="P107" s="12"/>
      <c r="Q107" s="2"/>
      <c r="U107" s="2"/>
      <c r="Y107" s="12"/>
      <c r="AC107" s="2"/>
      <c r="AK107" s="12"/>
    </row>
    <row r="108" spans="7:37" ht="17" customHeight="1" x14ac:dyDescent="0.2">
      <c r="G108" s="2"/>
      <c r="H108" s="2"/>
      <c r="K108" s="2"/>
      <c r="L108" s="2"/>
      <c r="M108" s="12"/>
      <c r="N108" s="2"/>
      <c r="O108" s="2"/>
      <c r="P108" s="12"/>
      <c r="Q108" s="2"/>
      <c r="U108" s="2"/>
      <c r="Y108" s="12"/>
      <c r="AC108" s="2"/>
      <c r="AK108" s="12"/>
    </row>
    <row r="109" spans="7:37" ht="17" customHeight="1" x14ac:dyDescent="0.2">
      <c r="G109" s="2"/>
      <c r="H109" s="2"/>
      <c r="K109" s="2"/>
      <c r="L109" s="2"/>
      <c r="M109" s="12"/>
      <c r="N109" s="2"/>
      <c r="O109" s="2"/>
      <c r="P109" s="12"/>
      <c r="Q109" s="2"/>
      <c r="U109" s="2"/>
      <c r="Y109" s="12"/>
      <c r="AC109" s="2"/>
      <c r="AK109" s="12"/>
    </row>
    <row r="110" spans="7:37" ht="17" customHeight="1" x14ac:dyDescent="0.2">
      <c r="G110" s="2"/>
      <c r="H110" s="2"/>
      <c r="K110" s="2"/>
      <c r="L110" s="2"/>
      <c r="M110" s="12"/>
      <c r="N110" s="2"/>
      <c r="O110" s="2"/>
      <c r="P110" s="12"/>
      <c r="Q110" s="2"/>
      <c r="U110" s="2"/>
      <c r="Y110" s="12"/>
      <c r="AC110" s="2"/>
      <c r="AK110" s="12"/>
    </row>
    <row r="111" spans="7:37" ht="17" customHeight="1" x14ac:dyDescent="0.2">
      <c r="G111" s="2"/>
      <c r="H111" s="2"/>
      <c r="K111" s="2"/>
      <c r="L111" s="2"/>
      <c r="M111" s="12"/>
      <c r="N111" s="2"/>
      <c r="O111" s="2"/>
      <c r="P111" s="12"/>
      <c r="Q111" s="2"/>
      <c r="U111" s="2"/>
      <c r="Y111" s="12"/>
      <c r="AC111" s="2"/>
      <c r="AK111" s="12"/>
    </row>
    <row r="112" spans="7:37" ht="17" customHeight="1" x14ac:dyDescent="0.2">
      <c r="G112" s="2"/>
      <c r="H112" s="2"/>
      <c r="K112" s="2"/>
      <c r="L112" s="2"/>
      <c r="M112" s="12"/>
      <c r="N112" s="2"/>
      <c r="O112" s="2"/>
      <c r="P112" s="12"/>
      <c r="Q112" s="2"/>
      <c r="U112" s="2"/>
      <c r="Y112" s="12"/>
      <c r="AC112" s="2"/>
      <c r="AK112" s="12"/>
    </row>
    <row r="113" spans="7:37" ht="17" customHeight="1" x14ac:dyDescent="0.2">
      <c r="G113" s="2"/>
      <c r="H113" s="2"/>
      <c r="K113" s="2"/>
      <c r="L113" s="2"/>
      <c r="M113" s="12"/>
      <c r="N113" s="2"/>
      <c r="O113" s="2"/>
      <c r="P113" s="12"/>
      <c r="Q113" s="2"/>
      <c r="U113" s="2"/>
      <c r="Y113" s="12"/>
      <c r="AC113" s="2"/>
      <c r="AK113" s="12"/>
    </row>
    <row r="114" spans="7:37" ht="17" customHeight="1" x14ac:dyDescent="0.2">
      <c r="G114" s="2"/>
      <c r="H114" s="2"/>
      <c r="K114" s="2"/>
      <c r="L114" s="2"/>
      <c r="M114" s="12"/>
      <c r="N114" s="2"/>
      <c r="O114" s="2"/>
      <c r="P114" s="12"/>
      <c r="Q114" s="2"/>
      <c r="U114" s="2"/>
      <c r="Y114" s="12"/>
      <c r="AC114" s="2"/>
      <c r="AK114" s="12"/>
    </row>
    <row r="115" spans="7:37" ht="17" customHeight="1" x14ac:dyDescent="0.2">
      <c r="G115" s="2"/>
      <c r="H115" s="2"/>
      <c r="K115" s="2"/>
      <c r="L115" s="2"/>
      <c r="M115" s="12"/>
      <c r="N115" s="2"/>
      <c r="O115" s="2"/>
      <c r="P115" s="12"/>
      <c r="Q115" s="2"/>
      <c r="U115" s="2"/>
      <c r="Y115" s="12"/>
      <c r="AC115" s="2"/>
      <c r="AK115" s="12"/>
    </row>
    <row r="116" spans="7:37" ht="17" customHeight="1" x14ac:dyDescent="0.2">
      <c r="G116" s="2"/>
      <c r="H116" s="2"/>
      <c r="K116" s="2"/>
      <c r="L116" s="2"/>
      <c r="M116" s="12"/>
      <c r="N116" s="2"/>
      <c r="O116" s="2"/>
      <c r="P116" s="12"/>
      <c r="Q116" s="2"/>
      <c r="U116" s="2"/>
      <c r="Y116" s="12"/>
      <c r="AC116" s="2"/>
      <c r="AK116" s="12"/>
    </row>
    <row r="117" spans="7:37" ht="17" customHeight="1" x14ac:dyDescent="0.2">
      <c r="G117" s="2"/>
      <c r="H117" s="2"/>
      <c r="K117" s="2"/>
      <c r="L117" s="2"/>
      <c r="M117" s="12"/>
      <c r="N117" s="2"/>
      <c r="O117" s="2"/>
      <c r="P117" s="12"/>
      <c r="Q117" s="2"/>
      <c r="U117" s="2"/>
      <c r="Y117" s="12"/>
      <c r="AC117" s="2"/>
      <c r="AK117" s="12"/>
    </row>
    <row r="118" spans="7:37" ht="17" customHeight="1" x14ac:dyDescent="0.2">
      <c r="G118" s="2"/>
      <c r="H118" s="2"/>
      <c r="K118" s="2"/>
      <c r="L118" s="2"/>
      <c r="M118" s="12"/>
      <c r="N118" s="2"/>
      <c r="O118" s="2"/>
      <c r="P118" s="12"/>
      <c r="Q118" s="2"/>
      <c r="U118" s="2"/>
      <c r="Y118" s="12"/>
      <c r="AC118" s="2"/>
      <c r="AK118" s="12"/>
    </row>
    <row r="119" spans="7:37" ht="17" customHeight="1" x14ac:dyDescent="0.2">
      <c r="G119" s="2"/>
      <c r="H119" s="2"/>
      <c r="K119" s="2"/>
      <c r="L119" s="2"/>
      <c r="M119" s="12"/>
      <c r="N119" s="2"/>
      <c r="O119" s="2"/>
      <c r="P119" s="12"/>
      <c r="Q119" s="2"/>
      <c r="U119" s="2"/>
      <c r="Y119" s="12"/>
      <c r="AC119" s="2"/>
      <c r="AK119" s="12"/>
    </row>
    <row r="120" spans="7:37" ht="17" customHeight="1" x14ac:dyDescent="0.2">
      <c r="G120" s="2"/>
      <c r="H120" s="2"/>
      <c r="K120" s="2"/>
      <c r="L120" s="2"/>
      <c r="M120" s="12"/>
      <c r="N120" s="2"/>
      <c r="O120" s="2"/>
      <c r="P120" s="12"/>
      <c r="Q120" s="2"/>
      <c r="U120" s="2"/>
      <c r="Y120" s="12"/>
      <c r="AC120" s="2"/>
      <c r="AK120" s="12"/>
    </row>
    <row r="121" spans="7:37" ht="17" customHeight="1" x14ac:dyDescent="0.2">
      <c r="G121" s="2"/>
      <c r="H121" s="2"/>
      <c r="K121" s="2"/>
      <c r="L121" s="2"/>
      <c r="M121" s="12"/>
      <c r="N121" s="2"/>
      <c r="O121" s="2"/>
      <c r="P121" s="12"/>
      <c r="Q121" s="2"/>
      <c r="U121" s="2"/>
      <c r="Y121" s="12"/>
      <c r="AC121" s="2"/>
      <c r="AK121" s="12"/>
    </row>
    <row r="122" spans="7:37" ht="17" customHeight="1" x14ac:dyDescent="0.2">
      <c r="G122" s="2"/>
      <c r="H122" s="2"/>
      <c r="K122" s="2"/>
      <c r="L122" s="2"/>
      <c r="M122" s="12"/>
      <c r="N122" s="2"/>
      <c r="O122" s="2"/>
      <c r="P122" s="12"/>
      <c r="Q122" s="2"/>
      <c r="U122" s="2"/>
      <c r="Y122" s="12"/>
      <c r="AC122" s="2"/>
      <c r="AK122" s="12"/>
    </row>
    <row r="123" spans="7:37" ht="17" customHeight="1" x14ac:dyDescent="0.2">
      <c r="G123" s="2"/>
      <c r="H123" s="2"/>
      <c r="K123" s="2"/>
      <c r="L123" s="2"/>
      <c r="M123" s="12"/>
      <c r="N123" s="2"/>
      <c r="O123" s="2"/>
      <c r="P123" s="12"/>
      <c r="Q123" s="2"/>
      <c r="U123" s="2"/>
      <c r="Y123" s="12"/>
      <c r="AC123" s="2"/>
      <c r="AK123" s="12"/>
    </row>
    <row r="124" spans="7:37" ht="17" customHeight="1" x14ac:dyDescent="0.2">
      <c r="G124" s="2"/>
      <c r="H124" s="2"/>
      <c r="K124" s="2"/>
      <c r="L124" s="2"/>
      <c r="M124" s="12"/>
      <c r="N124" s="2"/>
      <c r="O124" s="2"/>
      <c r="P124" s="12"/>
      <c r="Q124" s="2"/>
      <c r="U124" s="2"/>
      <c r="Y124" s="12"/>
      <c r="AC124" s="2"/>
      <c r="AK124" s="12"/>
    </row>
    <row r="125" spans="7:37" ht="17" customHeight="1" x14ac:dyDescent="0.2">
      <c r="G125" s="2"/>
      <c r="H125" s="2"/>
      <c r="K125" s="2"/>
      <c r="L125" s="2"/>
      <c r="M125" s="12"/>
      <c r="N125" s="2"/>
      <c r="O125" s="2"/>
      <c r="P125" s="12"/>
      <c r="Q125" s="2"/>
      <c r="U125" s="2"/>
      <c r="Y125" s="12"/>
      <c r="AC125" s="2"/>
      <c r="AK125" s="12"/>
    </row>
    <row r="126" spans="7:37" ht="17" customHeight="1" x14ac:dyDescent="0.2">
      <c r="G126" s="2"/>
      <c r="H126" s="2"/>
      <c r="K126" s="2"/>
      <c r="L126" s="2"/>
      <c r="M126" s="12"/>
      <c r="N126" s="2"/>
      <c r="O126" s="2"/>
      <c r="P126" s="12"/>
      <c r="Q126" s="2"/>
      <c r="U126" s="2"/>
      <c r="Y126" s="12"/>
      <c r="AC126" s="2"/>
      <c r="AK126" s="12"/>
    </row>
    <row r="127" spans="7:37" ht="17" customHeight="1" x14ac:dyDescent="0.2">
      <c r="G127" s="2"/>
      <c r="H127" s="2"/>
      <c r="K127" s="2"/>
      <c r="L127" s="2"/>
      <c r="M127" s="12"/>
      <c r="N127" s="2"/>
      <c r="O127" s="2"/>
      <c r="P127" s="12"/>
      <c r="Q127" s="2"/>
      <c r="U127" s="2"/>
      <c r="Y127" s="12"/>
      <c r="AC127" s="2"/>
      <c r="AK127" s="12"/>
    </row>
    <row r="128" spans="7:37" ht="17" customHeight="1" x14ac:dyDescent="0.2">
      <c r="G128" s="2"/>
      <c r="H128" s="2"/>
      <c r="K128" s="2"/>
      <c r="L128" s="2"/>
      <c r="M128" s="12"/>
      <c r="N128" s="2"/>
      <c r="O128" s="2"/>
      <c r="P128" s="12"/>
      <c r="Q128" s="2"/>
      <c r="U128" s="2"/>
      <c r="Y128" s="12"/>
      <c r="AC128" s="2"/>
      <c r="AK128" s="12"/>
    </row>
    <row r="129" spans="7:37" ht="17" customHeight="1" x14ac:dyDescent="0.2">
      <c r="G129" s="2"/>
      <c r="H129" s="2"/>
      <c r="K129" s="2"/>
      <c r="L129" s="2"/>
      <c r="M129" s="12"/>
      <c r="N129" s="2"/>
      <c r="O129" s="2"/>
      <c r="P129" s="12"/>
      <c r="Q129" s="2"/>
      <c r="U129" s="2"/>
      <c r="Y129" s="12"/>
      <c r="AC129" s="2"/>
      <c r="AK129" s="12"/>
    </row>
    <row r="130" spans="7:37" ht="17" customHeight="1" x14ac:dyDescent="0.2">
      <c r="G130" s="2"/>
      <c r="H130" s="2"/>
      <c r="K130" s="2"/>
      <c r="L130" s="2"/>
      <c r="M130" s="12"/>
      <c r="N130" s="2"/>
      <c r="O130" s="2"/>
      <c r="P130" s="12"/>
      <c r="Q130" s="2"/>
      <c r="U130" s="2"/>
      <c r="Y130" s="12"/>
      <c r="AC130" s="2"/>
      <c r="AK130" s="12"/>
    </row>
    <row r="131" spans="7:37" ht="17" customHeight="1" x14ac:dyDescent="0.2">
      <c r="G131" s="2"/>
      <c r="H131" s="2"/>
      <c r="K131" s="2"/>
      <c r="L131" s="2"/>
      <c r="M131" s="12"/>
      <c r="N131" s="2"/>
      <c r="O131" s="2"/>
      <c r="P131" s="12"/>
      <c r="Q131" s="2"/>
      <c r="U131" s="2"/>
      <c r="Y131" s="12"/>
      <c r="AC131" s="2"/>
      <c r="AK131" s="12"/>
    </row>
    <row r="132" spans="7:37" ht="17" customHeight="1" x14ac:dyDescent="0.2">
      <c r="G132" s="2"/>
      <c r="H132" s="2"/>
      <c r="K132" s="2"/>
      <c r="L132" s="2"/>
      <c r="M132" s="12"/>
      <c r="N132" s="2"/>
      <c r="O132" s="2"/>
      <c r="P132" s="12"/>
      <c r="Q132" s="2"/>
      <c r="U132" s="2"/>
      <c r="Y132" s="12"/>
      <c r="AC132" s="2"/>
      <c r="AK132" s="12"/>
    </row>
    <row r="133" spans="7:37" ht="17" customHeight="1" x14ac:dyDescent="0.2">
      <c r="G133" s="2"/>
      <c r="H133" s="2"/>
      <c r="K133" s="2"/>
      <c r="L133" s="2"/>
      <c r="M133" s="12"/>
      <c r="N133" s="2"/>
      <c r="O133" s="2"/>
      <c r="P133" s="12"/>
      <c r="Q133" s="2"/>
      <c r="U133" s="2"/>
      <c r="Y133" s="12"/>
      <c r="AC133" s="2"/>
      <c r="AK133" s="12"/>
    </row>
    <row r="134" spans="7:37" ht="17" customHeight="1" x14ac:dyDescent="0.2">
      <c r="G134" s="2"/>
      <c r="H134" s="2"/>
      <c r="K134" s="2"/>
      <c r="L134" s="2"/>
      <c r="M134" s="12"/>
      <c r="N134" s="2"/>
      <c r="O134" s="2"/>
      <c r="P134" s="12"/>
      <c r="Q134" s="2"/>
      <c r="U134" s="2"/>
      <c r="Y134" s="12"/>
      <c r="AC134" s="2"/>
      <c r="AK134" s="12"/>
    </row>
    <row r="135" spans="7:37" ht="17" customHeight="1" x14ac:dyDescent="0.2">
      <c r="G135" s="2"/>
      <c r="H135" s="2"/>
      <c r="K135" s="2"/>
      <c r="L135" s="2"/>
      <c r="M135" s="12"/>
      <c r="N135" s="2"/>
      <c r="O135" s="2"/>
      <c r="P135" s="12"/>
      <c r="Q135" s="2"/>
      <c r="U135" s="2"/>
      <c r="Y135" s="12"/>
      <c r="AC135" s="2"/>
      <c r="AK135" s="12"/>
    </row>
    <row r="136" spans="7:37" ht="17" customHeight="1" x14ac:dyDescent="0.2">
      <c r="G136" s="2"/>
      <c r="H136" s="2"/>
      <c r="K136" s="2"/>
      <c r="L136" s="2"/>
      <c r="M136" s="12"/>
      <c r="N136" s="2"/>
      <c r="O136" s="2"/>
      <c r="P136" s="12"/>
      <c r="Q136" s="2"/>
      <c r="U136" s="2"/>
      <c r="Y136" s="12"/>
      <c r="AC136" s="2"/>
      <c r="AK136" s="12"/>
    </row>
    <row r="137" spans="7:37" ht="17" customHeight="1" x14ac:dyDescent="0.2">
      <c r="G137" s="2"/>
      <c r="H137" s="2"/>
      <c r="K137" s="2"/>
      <c r="L137" s="2"/>
      <c r="M137" s="12"/>
      <c r="N137" s="2"/>
      <c r="O137" s="2"/>
      <c r="P137" s="12"/>
      <c r="Q137" s="2"/>
      <c r="U137" s="2"/>
      <c r="Y137" s="12"/>
      <c r="AC137" s="2"/>
      <c r="AK137" s="12"/>
    </row>
    <row r="138" spans="7:37" ht="17" customHeight="1" x14ac:dyDescent="0.2">
      <c r="G138" s="2"/>
      <c r="H138" s="2"/>
      <c r="K138" s="2"/>
      <c r="L138" s="2"/>
      <c r="M138" s="12"/>
      <c r="N138" s="2"/>
      <c r="O138" s="2"/>
      <c r="P138" s="12"/>
      <c r="Q138" s="2"/>
      <c r="U138" s="2"/>
      <c r="Y138" s="12"/>
      <c r="AC138" s="2"/>
      <c r="AK138" s="12"/>
    </row>
    <row r="139" spans="7:37" ht="17" customHeight="1" x14ac:dyDescent="0.2">
      <c r="G139" s="2"/>
      <c r="H139" s="2"/>
      <c r="K139" s="2"/>
      <c r="L139" s="2"/>
      <c r="M139" s="12"/>
      <c r="N139" s="2"/>
      <c r="O139" s="2"/>
      <c r="P139" s="12"/>
      <c r="Q139" s="2"/>
      <c r="U139" s="2"/>
      <c r="Y139" s="12"/>
      <c r="AC139" s="2"/>
      <c r="AK139" s="12"/>
    </row>
    <row r="140" spans="7:37" ht="17" customHeight="1" x14ac:dyDescent="0.2">
      <c r="G140" s="2"/>
      <c r="H140" s="2"/>
      <c r="K140" s="2"/>
      <c r="L140" s="2"/>
      <c r="M140" s="12"/>
      <c r="N140" s="2"/>
      <c r="O140" s="2"/>
      <c r="P140" s="12"/>
      <c r="Q140" s="2"/>
      <c r="U140" s="2"/>
      <c r="Y140" s="12"/>
      <c r="AC140" s="2"/>
      <c r="AK140" s="12"/>
    </row>
    <row r="141" spans="7:37" ht="17" customHeight="1" x14ac:dyDescent="0.2">
      <c r="G141" s="2"/>
      <c r="H141" s="2"/>
      <c r="K141" s="2"/>
      <c r="L141" s="2"/>
      <c r="M141" s="12"/>
      <c r="N141" s="2"/>
      <c r="O141" s="2"/>
      <c r="P141" s="12"/>
      <c r="Q141" s="2"/>
      <c r="U141" s="2"/>
      <c r="Y141" s="12"/>
      <c r="AC141" s="2"/>
      <c r="AK141" s="12"/>
    </row>
    <row r="142" spans="7:37" ht="17" customHeight="1" x14ac:dyDescent="0.2">
      <c r="G142" s="2"/>
      <c r="H142" s="2"/>
      <c r="K142" s="2"/>
      <c r="L142" s="2"/>
      <c r="M142" s="12"/>
      <c r="N142" s="2"/>
      <c r="O142" s="2"/>
      <c r="P142" s="12"/>
      <c r="Q142" s="2"/>
      <c r="U142" s="2"/>
      <c r="Y142" s="12"/>
      <c r="AC142" s="2"/>
      <c r="AK142" s="12"/>
    </row>
    <row r="143" spans="7:37" ht="17" customHeight="1" x14ac:dyDescent="0.2">
      <c r="G143" s="2"/>
      <c r="H143" s="2"/>
      <c r="K143" s="2"/>
      <c r="L143" s="2"/>
      <c r="M143" s="12"/>
      <c r="N143" s="2"/>
      <c r="O143" s="2"/>
      <c r="P143" s="12"/>
      <c r="Q143" s="2"/>
      <c r="U143" s="2"/>
      <c r="Y143" s="12"/>
      <c r="AC143" s="2"/>
      <c r="AK143" s="12"/>
    </row>
    <row r="144" spans="7:37" ht="17" customHeight="1" x14ac:dyDescent="0.2">
      <c r="G144" s="2"/>
      <c r="H144" s="2"/>
      <c r="K144" s="2"/>
      <c r="L144" s="2"/>
      <c r="N144" s="12"/>
      <c r="O144" s="2"/>
      <c r="P144" s="2"/>
      <c r="AC144" s="2"/>
    </row>
    <row r="145" spans="7:23" ht="17" customHeight="1" x14ac:dyDescent="0.2">
      <c r="G145" s="2"/>
      <c r="H145" s="2"/>
    </row>
    <row r="146" spans="7:23" ht="17" customHeight="1" x14ac:dyDescent="0.2">
      <c r="G146" s="2"/>
      <c r="H146" s="2"/>
    </row>
    <row r="147" spans="7:23" ht="17" customHeight="1" x14ac:dyDescent="0.2">
      <c r="G147" s="2"/>
      <c r="H147" s="2"/>
    </row>
    <row r="148" spans="7:23" ht="17" customHeight="1" x14ac:dyDescent="0.2">
      <c r="G148" s="2"/>
      <c r="H148" s="2"/>
    </row>
    <row r="149" spans="7:23" ht="17" customHeight="1" x14ac:dyDescent="0.2">
      <c r="G149" s="2"/>
      <c r="H149" s="2"/>
    </row>
    <row r="150" spans="7:23" ht="17" customHeight="1" x14ac:dyDescent="0.2">
      <c r="G150" s="2"/>
      <c r="H150" s="2"/>
    </row>
    <row r="151" spans="7:23" ht="17" customHeight="1" x14ac:dyDescent="0.2">
      <c r="G151" s="2"/>
      <c r="H151" s="2"/>
    </row>
    <row r="152" spans="7:23" ht="17" customHeight="1" x14ac:dyDescent="0.2">
      <c r="G152" s="2"/>
      <c r="H152" s="2"/>
    </row>
    <row r="153" spans="7:23" ht="17" customHeight="1" x14ac:dyDescent="0.2">
      <c r="G153" s="2"/>
      <c r="H153" s="2"/>
      <c r="W153" s="14"/>
    </row>
    <row r="154" spans="7:23" ht="17" customHeight="1" x14ac:dyDescent="0.2">
      <c r="G154" s="2"/>
      <c r="H154" s="2"/>
    </row>
    <row r="155" spans="7:23" ht="17" customHeight="1" x14ac:dyDescent="0.2">
      <c r="G155" s="2"/>
      <c r="H155" s="2"/>
      <c r="W155" s="14"/>
    </row>
    <row r="156" spans="7:23" ht="17" customHeight="1" x14ac:dyDescent="0.2">
      <c r="G156" s="2"/>
      <c r="H156" s="2"/>
    </row>
    <row r="157" spans="7:23" ht="17" customHeight="1" x14ac:dyDescent="0.2">
      <c r="G157" s="2"/>
      <c r="H157" s="2"/>
    </row>
    <row r="158" spans="7:23" ht="17" customHeight="1" x14ac:dyDescent="0.2">
      <c r="G158" s="2"/>
      <c r="H158" s="2"/>
    </row>
    <row r="159" spans="7:23" ht="17" customHeight="1" x14ac:dyDescent="0.2">
      <c r="G159" s="2"/>
      <c r="H159" s="2"/>
    </row>
    <row r="160" spans="7:23" ht="17" customHeight="1" x14ac:dyDescent="0.2">
      <c r="G160" s="2"/>
      <c r="H160" s="2"/>
    </row>
    <row r="161" spans="7:8" ht="17" customHeight="1" x14ac:dyDescent="0.2">
      <c r="G161" s="2"/>
      <c r="H161" s="2"/>
    </row>
    <row r="162" spans="7:8" ht="17" customHeight="1" x14ac:dyDescent="0.2">
      <c r="G162" s="2"/>
      <c r="H162" s="2"/>
    </row>
    <row r="163" spans="7:8" ht="17" customHeight="1" x14ac:dyDescent="0.2">
      <c r="G163" s="2"/>
      <c r="H163" s="2"/>
    </row>
    <row r="164" spans="7:8" ht="17" customHeight="1" x14ac:dyDescent="0.2">
      <c r="G164" s="2"/>
      <c r="H164" s="2"/>
    </row>
    <row r="165" spans="7:8" ht="17" customHeight="1" x14ac:dyDescent="0.2">
      <c r="G165" s="2"/>
      <c r="H165" s="2"/>
    </row>
    <row r="166" spans="7:8" ht="17" customHeight="1" x14ac:dyDescent="0.2">
      <c r="G166" s="2"/>
      <c r="H166" s="2"/>
    </row>
    <row r="167" spans="7:8" ht="17" customHeight="1" x14ac:dyDescent="0.2">
      <c r="G167" s="2"/>
      <c r="H167" s="2"/>
    </row>
    <row r="168" spans="7:8" ht="17" customHeight="1" x14ac:dyDescent="0.2">
      <c r="G168" s="2"/>
      <c r="H168" s="2"/>
    </row>
    <row r="169" spans="7:8" ht="17" customHeight="1" x14ac:dyDescent="0.2">
      <c r="G169" s="2"/>
      <c r="H169" s="2"/>
    </row>
    <row r="170" spans="7:8" ht="17" customHeight="1" x14ac:dyDescent="0.2">
      <c r="G170" s="2"/>
      <c r="H170" s="2"/>
    </row>
    <row r="171" spans="7:8" ht="17" customHeight="1" x14ac:dyDescent="0.2">
      <c r="G171" s="2"/>
      <c r="H171" s="2"/>
    </row>
    <row r="172" spans="7:8" ht="17" customHeight="1" x14ac:dyDescent="0.2">
      <c r="G172" s="2"/>
      <c r="H172" s="2"/>
    </row>
    <row r="173" spans="7:8" ht="17" customHeight="1" x14ac:dyDescent="0.2">
      <c r="G173" s="2"/>
      <c r="H173" s="2"/>
    </row>
    <row r="174" spans="7:8" ht="17" customHeight="1" x14ac:dyDescent="0.2">
      <c r="G174" s="2"/>
      <c r="H174" s="2"/>
    </row>
    <row r="175" spans="7:8" ht="17" customHeight="1" x14ac:dyDescent="0.2">
      <c r="G175" s="2"/>
      <c r="H175" s="2"/>
    </row>
    <row r="176" spans="7:8" ht="17" customHeight="1" x14ac:dyDescent="0.2">
      <c r="G176" s="2"/>
      <c r="H176" s="2"/>
    </row>
    <row r="177" spans="7:8" ht="17" customHeight="1" x14ac:dyDescent="0.2">
      <c r="G177" s="2"/>
      <c r="H177" s="2"/>
    </row>
    <row r="178" spans="7:8" ht="17" customHeight="1" x14ac:dyDescent="0.2">
      <c r="G178" s="2"/>
      <c r="H178" s="2"/>
    </row>
    <row r="179" spans="7:8" ht="17" customHeight="1" x14ac:dyDescent="0.2">
      <c r="G179" s="2"/>
      <c r="H179" s="2"/>
    </row>
    <row r="180" spans="7:8" ht="17" customHeight="1" x14ac:dyDescent="0.2">
      <c r="G180" s="2"/>
      <c r="H180" s="2"/>
    </row>
    <row r="181" spans="7:8" ht="17" customHeight="1" x14ac:dyDescent="0.2">
      <c r="G181" s="2"/>
      <c r="H181" s="2"/>
    </row>
    <row r="182" spans="7:8" ht="17" customHeight="1" x14ac:dyDescent="0.2">
      <c r="G182" s="2"/>
      <c r="H182" s="2"/>
    </row>
    <row r="183" spans="7:8" ht="17" customHeight="1" x14ac:dyDescent="0.2">
      <c r="G183" s="2"/>
      <c r="H183" s="2"/>
    </row>
    <row r="184" spans="7:8" ht="17" customHeight="1" x14ac:dyDescent="0.2">
      <c r="G184" s="2"/>
      <c r="H184" s="2"/>
    </row>
    <row r="185" spans="7:8" ht="17" customHeight="1" x14ac:dyDescent="0.2">
      <c r="G185" s="2"/>
      <c r="H185" s="2"/>
    </row>
    <row r="186" spans="7:8" ht="17" customHeight="1" x14ac:dyDescent="0.2">
      <c r="G186" s="2"/>
      <c r="H186" s="2"/>
    </row>
    <row r="187" spans="7:8" ht="17" customHeight="1" x14ac:dyDescent="0.2">
      <c r="G187" s="2"/>
      <c r="H187" s="2"/>
    </row>
    <row r="188" spans="7:8" ht="17" customHeight="1" x14ac:dyDescent="0.2">
      <c r="G188" s="2"/>
      <c r="H188" s="2"/>
    </row>
    <row r="189" spans="7:8" ht="17" customHeight="1" x14ac:dyDescent="0.2">
      <c r="G189" s="2"/>
      <c r="H189" s="2"/>
    </row>
    <row r="190" spans="7:8" ht="17" customHeight="1" x14ac:dyDescent="0.2">
      <c r="G190" s="2"/>
      <c r="H190" s="2"/>
    </row>
    <row r="191" spans="7:8" ht="17" customHeight="1" x14ac:dyDescent="0.2">
      <c r="G191" s="2"/>
      <c r="H191" s="2"/>
    </row>
    <row r="192" spans="7:8" ht="17" customHeight="1" x14ac:dyDescent="0.2">
      <c r="G192" s="2"/>
      <c r="H192" s="2"/>
    </row>
    <row r="193" spans="7:8" ht="17" customHeight="1" x14ac:dyDescent="0.2">
      <c r="G193" s="2"/>
      <c r="H193" s="2"/>
    </row>
    <row r="194" spans="7:8" ht="17" customHeight="1" x14ac:dyDescent="0.2">
      <c r="G194" s="2"/>
      <c r="H194" s="2"/>
    </row>
    <row r="195" spans="7:8" ht="17" customHeight="1" x14ac:dyDescent="0.2">
      <c r="G195" s="2"/>
      <c r="H195" s="2"/>
    </row>
    <row r="196" spans="7:8" ht="17" customHeight="1" x14ac:dyDescent="0.2">
      <c r="G196" s="2"/>
      <c r="H196" s="2"/>
    </row>
    <row r="197" spans="7:8" ht="17" customHeight="1" x14ac:dyDescent="0.2">
      <c r="G197" s="2"/>
      <c r="H197" s="2"/>
    </row>
    <row r="198" spans="7:8" ht="17" customHeight="1" x14ac:dyDescent="0.2">
      <c r="G198" s="2"/>
      <c r="H198" s="2"/>
    </row>
    <row r="199" spans="7:8" ht="17" customHeight="1" x14ac:dyDescent="0.2">
      <c r="G199" s="2"/>
      <c r="H199" s="2"/>
    </row>
    <row r="200" spans="7:8" ht="17" customHeight="1" x14ac:dyDescent="0.2">
      <c r="G200" s="2"/>
      <c r="H200" s="2"/>
    </row>
    <row r="201" spans="7:8" ht="17" customHeight="1" x14ac:dyDescent="0.2">
      <c r="G201" s="2"/>
      <c r="H201" s="2"/>
    </row>
    <row r="202" spans="7:8" ht="17" customHeight="1" x14ac:dyDescent="0.2">
      <c r="G202" s="2"/>
      <c r="H202" s="2"/>
    </row>
    <row r="203" spans="7:8" ht="17" customHeight="1" x14ac:dyDescent="0.2">
      <c r="G203" s="2"/>
      <c r="H203" s="2"/>
    </row>
    <row r="204" spans="7:8" ht="17" customHeight="1" x14ac:dyDescent="0.2">
      <c r="G204" s="2"/>
      <c r="H204" s="2"/>
    </row>
    <row r="205" spans="7:8" ht="17" customHeight="1" x14ac:dyDescent="0.2">
      <c r="G205" s="2"/>
      <c r="H205" s="2"/>
    </row>
    <row r="206" spans="7:8" ht="17" customHeight="1" x14ac:dyDescent="0.2">
      <c r="G206" s="2"/>
      <c r="H206" s="2"/>
    </row>
    <row r="207" spans="7:8" ht="17" customHeight="1" x14ac:dyDescent="0.2">
      <c r="G207" s="2"/>
      <c r="H207" s="2"/>
    </row>
    <row r="208" spans="7:8" ht="17" customHeight="1" x14ac:dyDescent="0.2">
      <c r="G208" s="2"/>
      <c r="H208" s="2"/>
    </row>
    <row r="209" spans="7:8" ht="17" customHeight="1" x14ac:dyDescent="0.2">
      <c r="G209" s="2"/>
      <c r="H209" s="2"/>
    </row>
    <row r="210" spans="7:8" ht="17" customHeight="1" x14ac:dyDescent="0.2">
      <c r="G210" s="2"/>
      <c r="H210" s="2"/>
    </row>
    <row r="211" spans="7:8" ht="17" customHeight="1" x14ac:dyDescent="0.2">
      <c r="G211" s="2"/>
      <c r="H211" s="2"/>
    </row>
    <row r="212" spans="7:8" ht="17" customHeight="1" x14ac:dyDescent="0.2">
      <c r="G212" s="2"/>
      <c r="H212" s="2"/>
    </row>
    <row r="213" spans="7:8" ht="17" customHeight="1" x14ac:dyDescent="0.2">
      <c r="G213" s="2"/>
      <c r="H213" s="2"/>
    </row>
    <row r="214" spans="7:8" ht="17" customHeight="1" x14ac:dyDescent="0.2">
      <c r="G214" s="2"/>
      <c r="H214" s="2"/>
    </row>
    <row r="215" spans="7:8" ht="17" customHeight="1" x14ac:dyDescent="0.2">
      <c r="G215" s="2"/>
      <c r="H215" s="2"/>
    </row>
    <row r="216" spans="7:8" ht="17" customHeight="1" x14ac:dyDescent="0.2">
      <c r="G216" s="2"/>
      <c r="H216" s="2"/>
    </row>
    <row r="217" spans="7:8" ht="17" customHeight="1" x14ac:dyDescent="0.2">
      <c r="G217" s="2"/>
      <c r="H217" s="2"/>
    </row>
    <row r="218" spans="7:8" ht="17" customHeight="1" x14ac:dyDescent="0.2">
      <c r="G218" s="2"/>
      <c r="H218" s="2"/>
    </row>
    <row r="219" spans="7:8" ht="17" customHeight="1" x14ac:dyDescent="0.2">
      <c r="G219" s="2"/>
      <c r="H219" s="2"/>
    </row>
    <row r="220" spans="7:8" ht="17" customHeight="1" x14ac:dyDescent="0.2">
      <c r="G220" s="2"/>
      <c r="H220" s="2"/>
    </row>
    <row r="221" spans="7:8" ht="17" customHeight="1" x14ac:dyDescent="0.2">
      <c r="G221" s="2"/>
      <c r="H221" s="2"/>
    </row>
    <row r="222" spans="7:8" ht="17" customHeight="1" x14ac:dyDescent="0.2">
      <c r="G222" s="2"/>
      <c r="H222" s="2"/>
    </row>
    <row r="223" spans="7:8" ht="17" customHeight="1" x14ac:dyDescent="0.2">
      <c r="G223" s="2"/>
      <c r="H223" s="2"/>
    </row>
    <row r="224" spans="7:8" ht="17" customHeight="1" x14ac:dyDescent="0.2">
      <c r="G224" s="2"/>
      <c r="H224" s="2"/>
    </row>
    <row r="225" spans="7:8" ht="17" customHeight="1" x14ac:dyDescent="0.2">
      <c r="G225" s="2"/>
      <c r="H225" s="2"/>
    </row>
    <row r="226" spans="7:8" ht="17" customHeight="1" x14ac:dyDescent="0.2">
      <c r="G226" s="2"/>
      <c r="H226" s="2"/>
    </row>
    <row r="227" spans="7:8" ht="17" customHeight="1" x14ac:dyDescent="0.2">
      <c r="G227" s="2"/>
      <c r="H227" s="2"/>
    </row>
    <row r="228" spans="7:8" ht="17" customHeight="1" x14ac:dyDescent="0.2">
      <c r="G228" s="2"/>
      <c r="H228" s="2"/>
    </row>
    <row r="229" spans="7:8" ht="17" customHeight="1" x14ac:dyDescent="0.2">
      <c r="G229" s="2"/>
      <c r="H229" s="2"/>
    </row>
    <row r="230" spans="7:8" ht="17" customHeight="1" x14ac:dyDescent="0.2">
      <c r="G230" s="2"/>
      <c r="H230" s="2"/>
    </row>
  </sheetData>
  <mergeCells count="21">
    <mergeCell ref="Z21:AB21"/>
    <mergeCell ref="Z4:AB4"/>
    <mergeCell ref="AD4:AF4"/>
    <mergeCell ref="AD21:AF21"/>
    <mergeCell ref="AH21:AJ21"/>
    <mergeCell ref="B2:D2"/>
    <mergeCell ref="B21:D21"/>
    <mergeCell ref="F2:H2"/>
    <mergeCell ref="I2:AJ2"/>
    <mergeCell ref="I3:AJ3"/>
    <mergeCell ref="F4:H4"/>
    <mergeCell ref="J4:L4"/>
    <mergeCell ref="N4:P4"/>
    <mergeCell ref="R4:T4"/>
    <mergeCell ref="V4:X4"/>
    <mergeCell ref="AH4:AJ4"/>
    <mergeCell ref="F21:G21"/>
    <mergeCell ref="J21:L21"/>
    <mergeCell ref="N21:P21"/>
    <mergeCell ref="R21:T21"/>
    <mergeCell ref="V21:X21"/>
  </mergeCells>
  <phoneticPr fontId="5" type="noConversion"/>
  <pageMargins left="0.7" right="0.7" top="0.75" bottom="0.75" header="0.3" footer="0.3"/>
  <pageSetup orientation="portrait" horizontalDpi="0" verticalDpi="0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 CC </vt:lpstr>
      <vt:lpstr>CE</vt:lpstr>
      <vt:lpstr>CC INFLACIÓN</vt:lpstr>
      <vt:lpstr>CE Inflación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Regino Julian Luna Cortez</dc:creator>
  <cp:lastModifiedBy>Regino Julian Luna Cortez</cp:lastModifiedBy>
  <dcterms:created xsi:type="dcterms:W3CDTF">2024-05-06T18:51:43Z</dcterms:created>
  <dcterms:modified xsi:type="dcterms:W3CDTF">2026-04-19T05:11:54Z</dcterms:modified>
</cp:coreProperties>
</file>